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culator" sheetId="1" r:id="rId1"/>
    <sheet name="Tax Slab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cols>
    <col min="1" max="1" width="35.83203125" customWidth="1"/>
    <col min="2" max="2" width="18.83203125" customWidth="1"/>
    <col min="3" max="3" width="15.83203125" customWidth="1"/>
  </cols>
  <sheetData>
    <row r="1">
      <c r="A1" t="str">
        <v>SALARY &amp; TAX CALCULATOR FY 2025-26</v>
      </c>
    </row>
    <row r="2">
      <c r="A2" t="str">
        <v/>
      </c>
    </row>
    <row r="3">
      <c r="A3" t="str">
        <v>SECTION A: YOUR CTC DETAILS</v>
      </c>
    </row>
    <row r="4">
      <c r="A4" t="str">
        <v/>
      </c>
    </row>
    <row r="5">
      <c r="A5" t="str">
        <v>Annual CTC</v>
      </c>
      <c r="B5">
        <v>1500000</v>
      </c>
    </row>
    <row r="6">
      <c r="A6" t="str">
        <v>Basic Salary (% of CTC)</v>
      </c>
      <c r="B6">
        <v>40</v>
      </c>
    </row>
    <row r="7">
      <c r="A7" t="str">
        <v>HRA (% of Basic)</v>
      </c>
      <c r="B7">
        <v>50</v>
      </c>
    </row>
    <row r="8">
      <c r="A8" t="str">
        <v/>
      </c>
    </row>
    <row r="9">
      <c r="A9" t="str">
        <v>SECTION B: PERSONAL DETAILS</v>
      </c>
    </row>
    <row r="10">
      <c r="A10" t="str">
        <v/>
      </c>
    </row>
    <row r="11">
      <c r="A11" t="str">
        <v>Age (Years)</v>
      </c>
      <c r="B11">
        <v>30</v>
      </c>
    </row>
    <row r="12">
      <c r="A12" t="str">
        <v>City Type (1=Metro, 0=Non-Metro)</v>
      </c>
      <c r="B12">
        <v>1</v>
      </c>
    </row>
    <row r="13">
      <c r="A13" t="str">
        <v>Monthly Rent Paid</v>
      </c>
      <c r="B13">
        <v>25000</v>
      </c>
    </row>
    <row r="14">
      <c r="A14" t="str">
        <v/>
      </c>
    </row>
    <row r="15">
      <c r="A15" t="str">
        <v>SECTION C: SALARY BREAKDOWN</v>
      </c>
    </row>
    <row r="16">
      <c r="A16" t="str">
        <v/>
      </c>
    </row>
    <row r="17">
      <c r="A17" t="str">
        <v>Component</v>
      </c>
      <c r="B17" t="str">
        <v>Annual</v>
      </c>
      <c r="C17" t="str">
        <v>Monthly</v>
      </c>
    </row>
    <row r="18">
      <c r="A18" t="str">
        <v>Basic Salary</v>
      </c>
      <c r="B18">
        <f>B5*B6/100</f>
      </c>
      <c r="C18">
        <f>B18/12</f>
      </c>
    </row>
    <row r="19">
      <c r="A19" t="str">
        <v>HRA</v>
      </c>
      <c r="B19">
        <f>B18*B7/100</f>
      </c>
      <c r="C19">
        <f>B19/12</f>
      </c>
    </row>
    <row r="20">
      <c r="A20" t="str">
        <v>Special Allowance</v>
      </c>
      <c r="B20">
        <f>B5-B18-B19-B18*0.12-B18*0.0481</f>
      </c>
      <c r="C20">
        <f>B20/12</f>
      </c>
    </row>
    <row r="21">
      <c r="A21" t="str">
        <v/>
      </c>
    </row>
    <row r="22">
      <c r="A22" t="str">
        <v>Gross Salary</v>
      </c>
      <c r="B22">
        <f>SUM(B18:B20)</f>
      </c>
      <c r="C22">
        <f>B22/12</f>
      </c>
    </row>
    <row r="23">
      <c r="A23" t="str">
        <v/>
      </c>
    </row>
    <row r="24">
      <c r="A24" t="str">
        <v>EMPLOYER CONTRIBUTIONS (Part of CTC)</v>
      </c>
    </row>
    <row r="25">
      <c r="A25" t="str">
        <v>EPF (Employer 12%)</v>
      </c>
      <c r="B25">
        <f>MIN(B18*0.12,21600)</f>
      </c>
      <c r="C25">
        <f>B25/12</f>
      </c>
    </row>
    <row r="26">
      <c r="A26" t="str">
        <v>Gratuity (4.81%)</v>
      </c>
      <c r="B26">
        <f>B18*0.0481</f>
      </c>
      <c r="C26">
        <f>B26/12</f>
      </c>
    </row>
    <row r="27">
      <c r="A27" t="str">
        <v/>
      </c>
    </row>
    <row r="28">
      <c r="A28" t="str">
        <v>EMPLOYEE DEDUCTIONS</v>
      </c>
    </row>
    <row r="29">
      <c r="A29" t="str">
        <v>EPF (Employee 12%)</v>
      </c>
      <c r="B29">
        <f>MIN(B18*0.12,21600)</f>
      </c>
      <c r="C29">
        <f>B29/12</f>
      </c>
    </row>
    <row r="30">
      <c r="A30" t="str">
        <v>Professional Tax</v>
      </c>
      <c r="B30">
        <v>2500</v>
      </c>
      <c r="C30">
        <f>B30/12</f>
      </c>
    </row>
    <row r="31">
      <c r="A31" t="str">
        <v/>
      </c>
    </row>
    <row r="32">
      <c r="A32" t="str">
        <v>Total Deductions (Before Tax)</v>
      </c>
      <c r="B32">
        <f>SUM(B29:B30)</f>
      </c>
      <c r="C32">
        <f>B32/12</f>
      </c>
    </row>
    <row r="33">
      <c r="A33" t="str">
        <v/>
      </c>
    </row>
    <row r="34">
      <c r="A34" t="str">
        <v>TAX CALCULATION - NEW REGIME FY 2025-26</v>
      </c>
    </row>
    <row r="35">
      <c r="A35" t="str">
        <v/>
      </c>
    </row>
    <row r="36">
      <c r="A36" t="str">
        <v>Gross Taxable Income</v>
      </c>
      <c r="B36">
        <f>B22</f>
      </c>
    </row>
    <row r="37">
      <c r="A37" t="str">
        <v>Less: Standard Deduction</v>
      </c>
      <c r="B37">
        <v>75000</v>
      </c>
    </row>
    <row r="38">
      <c r="A38" t="str">
        <v>Taxable Income</v>
      </c>
      <c r="B38">
        <f>MAX(B36-B37,0)</f>
      </c>
    </row>
    <row r="39">
      <c r="A39" t="str">
        <v/>
      </c>
    </row>
    <row r="40">
      <c r="A40" t="str">
        <v>Tax Slabs:</v>
      </c>
    </row>
    <row r="41">
      <c r="A41" t="str">
        <v>0-4L @ 0%</v>
      </c>
      <c r="B41">
        <v>0</v>
      </c>
    </row>
    <row r="42">
      <c r="A42" t="str">
        <v>4-8L @ 5%</v>
      </c>
      <c r="B42">
        <f>IF(B38&gt;400000,MIN(B38-400000,400000)*0.05,0)</f>
      </c>
    </row>
    <row r="43">
      <c r="A43" t="str">
        <v>8-12L @ 10%</v>
      </c>
      <c r="B43">
        <f>IF(B38&gt;800000,MIN(B38-800000,400000)*0.1,0)</f>
      </c>
    </row>
    <row r="44">
      <c r="A44" t="str">
        <v>12-16L @ 15%</v>
      </c>
      <c r="B44">
        <f>IF(B38&gt;1200000,MIN(B38-1200000,400000)*0.15,0)</f>
      </c>
    </row>
    <row r="45">
      <c r="A45" t="str">
        <v>16-20L @ 20%</v>
      </c>
      <c r="B45">
        <f>IF(B38&gt;1600000,MIN(B38-1600000,400000)*0.2,0)</f>
      </c>
    </row>
    <row r="46">
      <c r="A46" t="str">
        <v>20-24L @ 25%</v>
      </c>
      <c r="B46">
        <f>IF(B38&gt;2000000,MIN(B38-2000000,400000)*0.25,0)</f>
      </c>
    </row>
    <row r="47">
      <c r="A47" t="str">
        <v>Above 24L @ 30%</v>
      </c>
      <c r="B47">
        <f>IF(B38&gt;2400000,(B38-2400000)*0.3,0)</f>
      </c>
    </row>
    <row r="48">
      <c r="A48" t="str">
        <v>Total Tax</v>
      </c>
      <c r="B48">
        <f>SUM(B41:B47)</f>
      </c>
    </row>
    <row r="49">
      <c r="A49" t="str">
        <v>Less: Rebate u/s 87A</v>
      </c>
      <c r="B49">
        <f>IF(B38&lt;=1200000,B48,0)</f>
      </c>
    </row>
    <row r="50">
      <c r="A50" t="str">
        <v>Tax after Rebate</v>
      </c>
      <c r="B50">
        <f>MAX(B48-B49,0)</f>
      </c>
    </row>
    <row r="51">
      <c r="A51" t="str">
        <v>Add: Cess @ 4%</v>
      </c>
      <c r="B51">
        <f>B50*0.04</f>
      </c>
    </row>
    <row r="52">
      <c r="A52" t="str">
        <v>Total Tax Payable (New)</v>
      </c>
      <c r="B52">
        <f>B50+B51</f>
      </c>
    </row>
    <row r="53">
      <c r="A53" t="str">
        <v/>
      </c>
    </row>
    <row r="54">
      <c r="A54" t="str">
        <v>FINAL IN-HAND CALCULATION</v>
      </c>
    </row>
    <row r="55">
      <c r="A55" t="str">
        <v/>
      </c>
    </row>
    <row r="56">
      <c r="A56" t="str">
        <v>Annual Gross Salary</v>
      </c>
      <c r="B56">
        <f>B22</f>
      </c>
    </row>
    <row r="57">
      <c r="A57" t="str">
        <v>Less: EPF Deduction</v>
      </c>
      <c r="B57">
        <f>B29</f>
      </c>
    </row>
    <row r="58">
      <c r="A58" t="str">
        <v>Less: Professional Tax</v>
      </c>
      <c r="B58">
        <f>B30</f>
      </c>
    </row>
    <row r="59">
      <c r="A59" t="str">
        <v>Less: Income Tax</v>
      </c>
      <c r="B59">
        <f>B52</f>
      </c>
    </row>
    <row r="60">
      <c r="A60" t="str">
        <v>Annual In-Hand</v>
      </c>
      <c r="B60">
        <f>B55-B56-B57-B58</f>
      </c>
    </row>
    <row r="61">
      <c r="A61" t="str">
        <v>Monthly In-Hand</v>
      </c>
      <c r="B61">
        <f>ROUND(B59/12,0)</f>
      </c>
    </row>
  </sheetData>
  <ignoredErrors>
    <ignoredError numberStoredAsText="1" sqref="A1:C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30.83203125" customWidth="1"/>
    <col min="2" max="2" width="15.83203125" customWidth="1"/>
  </cols>
  <sheetData>
    <row r="1">
      <c r="A1" t="str">
        <v>INCOME TAX SLABS - QUICK REFERENCE</v>
      </c>
    </row>
    <row r="2">
      <c r="A2" t="str">
        <v/>
      </c>
    </row>
    <row r="3">
      <c r="A3" t="str">
        <v>NEW TAX REGIME FY 2025-26 (Default)</v>
      </c>
    </row>
    <row r="4">
      <c r="A4" t="str">
        <v/>
      </c>
    </row>
    <row r="5">
      <c r="A5" t="str">
        <v>Income Slab</v>
      </c>
      <c r="B5" t="str">
        <v>Tax Rate</v>
      </c>
    </row>
    <row r="6">
      <c r="A6" t="str">
        <v>Up to 4,00,000</v>
      </c>
      <c r="B6" t="str">
        <v>0%</v>
      </c>
    </row>
    <row r="7">
      <c r="A7" t="str">
        <v>4,00,001 - 8,00,000</v>
      </c>
      <c r="B7" t="str">
        <v>5%</v>
      </c>
    </row>
    <row r="8">
      <c r="A8" t="str">
        <v>8,00,001 - 12,00,000</v>
      </c>
      <c r="B8" t="str">
        <v>10%</v>
      </c>
    </row>
    <row r="9">
      <c r="A9" t="str">
        <v>12,00,001 - 16,00,000</v>
      </c>
      <c r="B9" t="str">
        <v>15%</v>
      </c>
    </row>
    <row r="10">
      <c r="A10" t="str">
        <v>16,00,001 - 20,00,000</v>
      </c>
      <c r="B10" t="str">
        <v>20%</v>
      </c>
    </row>
    <row r="11">
      <c r="A11" t="str">
        <v>20,00,001 - 24,00,000</v>
      </c>
      <c r="B11" t="str">
        <v>25%</v>
      </c>
    </row>
    <row r="12">
      <c r="A12" t="str">
        <v>Above 24,00,000</v>
      </c>
      <c r="B12" t="str">
        <v>30%</v>
      </c>
    </row>
    <row r="13">
      <c r="A13" t="str">
        <v/>
      </c>
    </row>
    <row r="14">
      <c r="A14" t="str">
        <v>Key Points:</v>
      </c>
    </row>
    <row r="15">
      <c r="A15" t="str">
        <v>Standard Deduction: 75,000</v>
      </c>
    </row>
    <row r="16">
      <c r="A16" t="str">
        <v>Full tax rebate if income up to 12 Lakhs</v>
      </c>
    </row>
    <row r="17">
      <c r="A17" t="str">
        <v/>
      </c>
    </row>
    <row r="18">
      <c r="A18" t="str">
        <v>OLD TAX REGIME</v>
      </c>
    </row>
    <row r="19">
      <c r="A19" t="str">
        <v/>
      </c>
    </row>
    <row r="20">
      <c r="A20" t="str">
        <v>Income Slab</v>
      </c>
      <c r="B20" t="str">
        <v>Tax Rate</v>
      </c>
    </row>
    <row r="21">
      <c r="A21" t="str">
        <v>Up to 2,50,000</v>
      </c>
      <c r="B21" t="str">
        <v>0%</v>
      </c>
    </row>
    <row r="22">
      <c r="A22" t="str">
        <v>2,50,001 - 5,00,000</v>
      </c>
      <c r="B22" t="str">
        <v>5%</v>
      </c>
    </row>
    <row r="23">
      <c r="A23" t="str">
        <v>5,00,001 - 10,00,000</v>
      </c>
      <c r="B23" t="str">
        <v>20%</v>
      </c>
    </row>
    <row r="24">
      <c r="A24" t="str">
        <v>Above 10,00,000</v>
      </c>
      <c r="B24" t="str">
        <v>30%</v>
      </c>
    </row>
    <row r="25">
      <c r="A25" t="str">
        <v/>
      </c>
    </row>
    <row r="26">
      <c r="A26" t="str">
        <v>Available Deductions in Old Regime:</v>
      </c>
    </row>
    <row r="27">
      <c r="A27" t="str">
        <v>Section 80C: Up to 1,50,000</v>
      </c>
    </row>
    <row r="28">
      <c r="A28" t="str">
        <v>Section 80D: 25,000 (50,000 for seniors)</v>
      </c>
    </row>
    <row r="29">
      <c r="A29" t="str">
        <v>HRA Exemption: As per rules</v>
      </c>
    </row>
    <row r="30">
      <c r="A30" t="str">
        <v>NPS 80CCD(1B): Additional 50,000</v>
      </c>
    </row>
    <row r="31">
      <c r="A31" t="str">
        <v>Home Loan Interest: Up to 2,00,000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Calculator</vt:lpstr>
      <vt:lpstr>Tax Slabs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