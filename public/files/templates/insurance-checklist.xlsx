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shboard" sheetId="1" r:id="rId1"/>
    <sheet name="Health" sheetId="2" r:id="rId2"/>
    <sheet name="Life" sheetId="3" r:id="rId3"/>
    <sheet name="Other" sheetId="4" r:id="rId4"/>
    <sheet name="Policy Tracker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cols>
    <col min="1" max="1" width="22.83203125" customWidth="1"/>
    <col min="2" max="2" width="15.83203125" customWidth="1"/>
    <col min="3" max="3" width="15.83203125" customWidth="1"/>
    <col min="4" max="4" width="10.83203125" customWidth="1"/>
    <col min="5" max="5" width="15.83203125" customWidth="1"/>
    <col min="6" max="6" width="10.83203125" customWidth="1"/>
  </cols>
  <sheetData>
    <row r="1">
      <c r="A1" t="str">
        <v>INSURANCE COVERAGE DASHBOARD</v>
      </c>
    </row>
    <row r="2">
      <c r="A2" t="str">
        <v/>
      </c>
    </row>
    <row r="3">
      <c r="A3" t="str">
        <v>COVERAGE SUMMARY</v>
      </c>
    </row>
    <row r="4">
      <c r="A4" t="str">
        <v/>
      </c>
    </row>
    <row r="5">
      <c r="A5" t="str">
        <v>Insurance Type</v>
      </c>
      <c r="B5" t="str">
        <v>Recommended</v>
      </c>
      <c r="C5" t="str">
        <v>Your Coverage</v>
      </c>
      <c r="D5" t="str">
        <v>Gap</v>
      </c>
      <c r="E5" t="str">
        <v>Status</v>
      </c>
      <c r="F5" t="str">
        <v>Priority</v>
      </c>
    </row>
    <row r="6">
      <c r="A6" t="str">
        <v>Health Insurance</v>
      </c>
      <c r="B6">
        <f>'Health'!C12</f>
      </c>
      <c r="C6">
        <f>'Health'!C13</f>
      </c>
      <c r="D6">
        <f>B6-C6</f>
      </c>
      <c r="E6">
        <f>IF(D6&lt;=0,"Adequate","Under-insured")</f>
      </c>
      <c r="F6" t="str">
        <v>Critical</v>
      </c>
    </row>
    <row r="7">
      <c r="A7" t="str">
        <v>Term Life Insurance</v>
      </c>
      <c r="B7">
        <f>'Life'!C16</f>
      </c>
      <c r="C7">
        <f>'Life'!C17</f>
      </c>
      <c r="D7">
        <f>B7-C7</f>
      </c>
      <c r="E7">
        <f>IF(D7&lt;=0,"Adequate","Under-insured")</f>
      </c>
      <c r="F7" t="str">
        <v>Critical</v>
      </c>
    </row>
    <row r="8">
      <c r="A8" t="str">
        <v>Motor Insurance</v>
      </c>
      <c r="B8" t="str">
        <v>Full Cover</v>
      </c>
      <c r="C8">
        <f>'Other'!C8</f>
      </c>
      <c r="D8" t="str">
        <v>-</v>
      </c>
      <c r="E8">
        <f>IF(C8="Comprehensive","OK","Review")</f>
      </c>
      <c r="F8" t="str">
        <v>Mandatory</v>
      </c>
    </row>
    <row r="9">
      <c r="A9" t="str">
        <v>Personal Accident</v>
      </c>
      <c r="B9">
        <f>'Other'!C13</f>
      </c>
      <c r="C9">
        <f>'Other'!C14</f>
      </c>
      <c r="D9">
        <f>B9-C9</f>
      </c>
      <c r="E9">
        <f>IF(D9&lt;=0,"Adequate","Review")</f>
      </c>
      <c r="F9" t="str">
        <v>High</v>
      </c>
    </row>
    <row r="10">
      <c r="A10" t="str">
        <v>Home Insurance</v>
      </c>
      <c r="B10" t="str">
        <v>As per value</v>
      </c>
      <c r="C10">
        <f>'Other'!C19</f>
      </c>
      <c r="D10" t="str">
        <v>-</v>
      </c>
      <c r="E10">
        <f>IF(C10="Yes","Have","Missing")</f>
      </c>
      <c r="F10" t="str">
        <v>Medium</v>
      </c>
    </row>
    <row r="11">
      <c r="A11" t="str">
        <v/>
      </c>
    </row>
    <row r="12">
      <c r="A12" t="str">
        <v>ANNUAL PREMIUM SUMMARY</v>
      </c>
    </row>
    <row r="13">
      <c r="A13" t="str">
        <v/>
      </c>
    </row>
    <row r="14">
      <c r="A14" t="str">
        <v>Type</v>
      </c>
      <c r="B14" t="str">
        <v>Annual Premium</v>
      </c>
      <c r="C14" t="str">
        <v>Monthly Cost</v>
      </c>
    </row>
    <row r="15">
      <c r="A15" t="str">
        <v>Health Insurance</v>
      </c>
      <c r="B15">
        <f>'Health'!C14</f>
      </c>
      <c r="C15">
        <f>B15/12</f>
      </c>
    </row>
    <row r="16">
      <c r="A16" t="str">
        <v>Term Life Insurance</v>
      </c>
      <c r="B16">
        <f>'Life'!C18</f>
      </c>
      <c r="C16">
        <f>B16/12</f>
      </c>
    </row>
    <row r="17">
      <c r="A17" t="str">
        <v>Motor Insurance</v>
      </c>
      <c r="B17">
        <f>'Other'!C9</f>
      </c>
      <c r="C17">
        <f>B17/12</f>
      </c>
    </row>
    <row r="18">
      <c r="A18" t="str">
        <v>Personal Accident</v>
      </c>
      <c r="B18">
        <f>'Other'!C15</f>
      </c>
      <c r="C18">
        <f>B18/12</f>
      </c>
    </row>
    <row r="19">
      <c r="A19" t="str">
        <v>Home Insurance</v>
      </c>
      <c r="B19">
        <f>'Other'!C20</f>
      </c>
      <c r="C19">
        <f>B19/12</f>
      </c>
    </row>
    <row r="20">
      <c r="A20" t="str">
        <v>TOTAL</v>
      </c>
      <c r="B20">
        <f>SUM(B15:B19)</f>
      </c>
      <c r="C20">
        <f>B20/12</f>
      </c>
    </row>
    <row r="21">
      <c r="A21" t="str">
        <v/>
      </c>
    </row>
    <row r="22">
      <c r="A22" t="str">
        <v>ACTION ITEMS</v>
      </c>
    </row>
    <row r="23">
      <c r="A23" t="str">
        <v>1. Review coverage gaps highlighted above</v>
      </c>
    </row>
    <row r="24">
      <c r="A24" t="str">
        <v>2. Get quotes from 3+ insurers before buying</v>
      </c>
    </row>
    <row r="25">
      <c r="A25" t="str">
        <v>3. Compare claim settlement ratios</v>
      </c>
    </row>
    <row r="26">
      <c r="A26" t="str">
        <v>4. Read policy documents carefully</v>
      </c>
    </row>
    <row r="27">
      <c r="A27" t="str">
        <v>5. Update nominee details annually</v>
      </c>
    </row>
  </sheetData>
  <ignoredErrors>
    <ignoredError numberStoredAsText="1" sqref="A1:F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cols>
    <col min="1" max="1" width="25.83203125" customWidth="1"/>
    <col min="2" max="2" width="20.83203125" customWidth="1"/>
    <col min="3" max="3" width="20.83203125" customWidth="1"/>
  </cols>
  <sheetData>
    <row r="1">
      <c r="A1" t="str">
        <v>HEALTH INSURANCE ANALYZER</v>
      </c>
    </row>
    <row r="2">
      <c r="A2" t="str">
        <v/>
      </c>
    </row>
    <row r="3">
      <c r="A3" t="str">
        <v>FAMILY DETAILS</v>
      </c>
    </row>
    <row r="4">
      <c r="A4" t="str">
        <v/>
      </c>
    </row>
    <row r="5">
      <c r="A5" t="str">
        <v>Member</v>
      </c>
      <c r="B5" t="str">
        <v>Age</v>
      </c>
      <c r="C5" t="str">
        <v>Pre-existing Conditions</v>
      </c>
    </row>
    <row r="6">
      <c r="A6" t="str">
        <v>Self</v>
      </c>
      <c r="B6">
        <v>35</v>
      </c>
      <c r="C6" t="str">
        <v>None</v>
      </c>
    </row>
    <row r="7">
      <c r="A7" t="str">
        <v>Spouse</v>
      </c>
      <c r="B7">
        <v>32</v>
      </c>
      <c r="C7" t="str">
        <v>None</v>
      </c>
    </row>
    <row r="8">
      <c r="A8" t="str">
        <v>Child 1</v>
      </c>
      <c r="B8">
        <v>8</v>
      </c>
      <c r="C8" t="str">
        <v>None</v>
      </c>
    </row>
    <row r="9">
      <c r="A9" t="str">
        <v>Parent 1</v>
      </c>
      <c r="B9">
        <v>62</v>
      </c>
      <c r="C9" t="str">
        <v>Diabetes</v>
      </c>
    </row>
    <row r="10">
      <c r="A10" t="str">
        <v>Parent 2</v>
      </c>
      <c r="B10">
        <v>58</v>
      </c>
      <c r="C10" t="str">
        <v>None</v>
      </c>
    </row>
    <row r="11">
      <c r="A11" t="str">
        <v/>
      </c>
    </row>
    <row r="12">
      <c r="A12" t="str">
        <v>COVERAGE RECOMMENDATION</v>
      </c>
    </row>
    <row r="13">
      <c r="A13" t="str">
        <v>Self + Spouse + Children</v>
      </c>
      <c r="B13">
        <v>1500000</v>
      </c>
    </row>
    <row r="14">
      <c r="A14" t="str">
        <v>Your Current Coverage</v>
      </c>
      <c r="B14" t="str">
        <v/>
      </c>
    </row>
    <row r="15">
      <c r="A15" t="str">
        <v>Your Current Premium</v>
      </c>
      <c r="B15" t="str">
        <v/>
      </c>
    </row>
    <row r="16">
      <c r="A16" t="str">
        <v/>
      </c>
    </row>
    <row r="17">
      <c r="A17" t="str">
        <v>Parents (Separate Policy)</v>
      </c>
      <c r="B17">
        <v>1000000</v>
      </c>
    </row>
    <row r="18">
      <c r="A18" t="str">
        <v>Super Top-Up</v>
      </c>
      <c r="B18">
        <v>5000000</v>
      </c>
    </row>
    <row r="19">
      <c r="A19" t="str">
        <v/>
      </c>
    </row>
    <row r="20">
      <c r="A20" t="str">
        <v>WHAT TO LOOK FOR</v>
      </c>
    </row>
    <row r="21">
      <c r="A21" t="str">
        <v>Feature</v>
      </c>
      <c r="B21" t="str">
        <v>Recommended</v>
      </c>
    </row>
    <row r="22">
      <c r="A22" t="str">
        <v>Room Rent Limit</v>
      </c>
      <c r="B22" t="str">
        <v>No sub-limits</v>
      </c>
    </row>
    <row r="23">
      <c r="A23" t="str">
        <v>Co-payment</v>
      </c>
      <c r="B23" t="str">
        <v>0% (no co-pay)</v>
      </c>
    </row>
    <row r="24">
      <c r="A24" t="str">
        <v>Waiting Period</v>
      </c>
      <c r="B24" t="str">
        <v>2-3 years</v>
      </c>
    </row>
    <row r="25">
      <c r="A25" t="str">
        <v>Network Hospitals</v>
      </c>
      <c r="B25" t="str">
        <v>5000+ in your city</v>
      </c>
    </row>
    <row r="26">
      <c r="A26" t="str">
        <v>Claim Settlement Ratio</v>
      </c>
      <c r="B26" t="str">
        <v>95%+</v>
      </c>
    </row>
    <row r="27">
      <c r="A27" t="str">
        <v/>
      </c>
    </row>
    <row r="28">
      <c r="A28" t="str">
        <v>TOP INSURERS:</v>
      </c>
    </row>
    <row r="29">
      <c r="A29" t="str">
        <v>Star Health, HDFC Ergo, Care Health, Niva Bupa, ICICI Lombard</v>
      </c>
    </row>
  </sheetData>
  <ignoredErrors>
    <ignoredError numberStoredAsText="1" sqref="A1:C2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9"/>
  <sheetViews>
    <sheetView workbookViewId="0"/>
  </sheetViews>
  <cols>
    <col min="1" max="1" width="35.83203125" customWidth="1"/>
    <col min="2" max="2" width="20.83203125" customWidth="1"/>
  </cols>
  <sheetData>
    <row r="1">
      <c r="A1" t="str">
        <v>LIFE INSURANCE ANALYZER</v>
      </c>
    </row>
    <row r="2">
      <c r="A2" t="str">
        <v/>
      </c>
    </row>
    <row r="3">
      <c r="A3" t="str">
        <v>YOUR DETAILS</v>
      </c>
    </row>
    <row r="4">
      <c r="A4" t="str">
        <v/>
      </c>
    </row>
    <row r="5">
      <c r="A5" t="str">
        <v>Your Age</v>
      </c>
      <c r="B5">
        <v>35</v>
      </c>
    </row>
    <row r="6">
      <c r="A6" t="str">
        <v>Annual Income</v>
      </c>
      <c r="B6">
        <v>1500000</v>
      </c>
    </row>
    <row r="7">
      <c r="A7" t="str">
        <v>Years to Retirement</v>
      </c>
      <c r="B7">
        <v>25</v>
      </c>
    </row>
    <row r="8">
      <c r="A8" t="str">
        <v>Number of Dependents</v>
      </c>
      <c r="B8">
        <v>3</v>
      </c>
    </row>
    <row r="9">
      <c r="A9" t="str">
        <v/>
      </c>
    </row>
    <row r="10">
      <c r="A10" t="str">
        <v>COVERAGE CALCULATION</v>
      </c>
    </row>
    <row r="11">
      <c r="A11" t="str">
        <v/>
      </c>
    </row>
    <row r="12">
      <c r="A12" t="str">
        <v>METHOD 1: Income Replacement (10x)</v>
      </c>
      <c r="B12">
        <f>B6*10</f>
      </c>
    </row>
    <row r="13">
      <c r="A13" t="str">
        <v>METHOD 2: Human Life Value</v>
      </c>
      <c r="B13">
        <f>B6*B7*0.5</f>
      </c>
    </row>
    <row r="14">
      <c r="A14" t="str">
        <v/>
      </c>
    </row>
    <row r="15">
      <c r="A15" t="str">
        <v>RECOMMENDED COVERAGE</v>
      </c>
      <c r="B15">
        <f>MAX(B12,B13)</f>
      </c>
    </row>
    <row r="16">
      <c r="A16" t="str">
        <v/>
      </c>
    </row>
    <row r="17">
      <c r="A17" t="str">
        <v>Your Current Term Cover</v>
      </c>
      <c r="B17">
        <v>5000000</v>
      </c>
    </row>
    <row r="18">
      <c r="A18" t="str">
        <v>Your Current Premium</v>
      </c>
      <c r="B18">
        <v>8000</v>
      </c>
    </row>
    <row r="19">
      <c r="A19" t="str">
        <v/>
      </c>
    </row>
    <row r="20">
      <c r="A20" t="str">
        <v>Coverage Gap</v>
      </c>
      <c r="B20">
        <f>MAX(B16-B17,0)</f>
      </c>
    </row>
    <row r="21">
      <c r="A21" t="str">
        <v/>
      </c>
    </row>
    <row r="22">
      <c r="A22" t="str">
        <v>RECOMMENDED FEATURES</v>
      </c>
    </row>
    <row r="23">
      <c r="A23" t="str">
        <v>Policy Type: Pure Term (NOT ULIP/Endowment)</v>
      </c>
    </row>
    <row r="24">
      <c r="A24" t="str">
        <v>Policy Term: Till age 60-65</v>
      </c>
    </row>
    <row r="25">
      <c r="A25" t="str">
        <v>Riders: Critical Illness, Accidental Death</v>
      </c>
    </row>
    <row r="26">
      <c r="A26" t="str">
        <v>Claim Settlement Ratio: 98%+</v>
      </c>
    </row>
    <row r="27">
      <c r="A27" t="str">
        <v/>
      </c>
    </row>
    <row r="28">
      <c r="A28" t="str">
        <v>TOP TERM PLANS:</v>
      </c>
    </row>
    <row r="29">
      <c r="A29" t="str">
        <v>HDFC Life Click 2 Protect, ICICI Pru iProtect, Max Life Smart Term</v>
      </c>
    </row>
  </sheetData>
  <ignoredErrors>
    <ignoredError numberStoredAsText="1" sqref="A1:B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9"/>
  <sheetViews>
    <sheetView workbookViewId="0"/>
  </sheetViews>
  <cols>
    <col min="1" max="1" width="35.83203125" customWidth="1"/>
    <col min="2" max="2" width="20.83203125" customWidth="1"/>
  </cols>
  <sheetData>
    <row r="1">
      <c r="A1" t="str">
        <v>OTHER ESSENTIAL INSURANCE</v>
      </c>
    </row>
    <row r="2">
      <c r="A2" t="str">
        <v/>
      </c>
    </row>
    <row r="3">
      <c r="A3" t="str">
        <v>MOTOR INSURANCE</v>
      </c>
    </row>
    <row r="4">
      <c r="A4" t="str">
        <v/>
      </c>
    </row>
    <row r="5">
      <c r="A5" t="str">
        <v>Vehicle Details</v>
      </c>
      <c r="B5" t="str">
        <v>Your Information</v>
      </c>
    </row>
    <row r="6">
      <c r="A6" t="str">
        <v>Vehicle Type</v>
      </c>
      <c r="B6" t="str">
        <v>Car</v>
      </c>
    </row>
    <row r="7">
      <c r="A7" t="str">
        <v>Coverage Type</v>
      </c>
      <c r="B7" t="str">
        <v>Comprehensive</v>
      </c>
    </row>
    <row r="8">
      <c r="A8" t="str">
        <v>Annual Premium</v>
      </c>
      <c r="B8" t="str">
        <v/>
      </c>
    </row>
    <row r="9">
      <c r="A9" t="str">
        <v>IDV (Insured Declared Value)</v>
      </c>
      <c r="B9" t="str">
        <v/>
      </c>
    </row>
    <row r="10">
      <c r="A10" t="str">
        <v>NCB (No Claim Bonus) %</v>
      </c>
      <c r="B10" t="str">
        <v/>
      </c>
    </row>
    <row r="11">
      <c r="A11" t="str">
        <v/>
      </c>
    </row>
    <row r="12">
      <c r="A12" t="str">
        <v>PERSONAL ACCIDENT INSURANCE</v>
      </c>
    </row>
    <row r="13">
      <c r="A13" t="str">
        <v>Recommended Coverage (20x monthly)</v>
      </c>
      <c r="B13">
        <f>50000*20</f>
      </c>
    </row>
    <row r="14">
      <c r="A14" t="str">
        <v>Your Current Coverage</v>
      </c>
      <c r="B14" t="str">
        <v/>
      </c>
    </row>
    <row r="15">
      <c r="A15" t="str">
        <v>Annual Premium</v>
      </c>
      <c r="B15" t="str">
        <v/>
      </c>
    </row>
    <row r="16">
      <c r="A16" t="str">
        <v/>
      </c>
    </row>
    <row r="17">
      <c r="A17" t="str">
        <v>HOME INSURANCE</v>
      </c>
    </row>
    <row r="18">
      <c r="A18" t="str">
        <v>Do you have home insurance?</v>
      </c>
      <c r="B18" t="str">
        <v>No</v>
      </c>
    </row>
    <row r="19">
      <c r="A19" t="str">
        <v>Your Property Value</v>
      </c>
      <c r="B19" t="str">
        <v/>
      </c>
    </row>
    <row r="20">
      <c r="A20" t="str">
        <v>Coverage Amount</v>
      </c>
      <c r="B20" t="str">
        <v/>
      </c>
    </row>
    <row r="21">
      <c r="A21" t="str">
        <v>Annual Premium</v>
      </c>
      <c r="B21" t="str">
        <v/>
      </c>
    </row>
    <row r="22">
      <c r="A22" t="str">
        <v/>
      </c>
    </row>
    <row r="23">
      <c r="A23" t="str">
        <v>HOME INSURANCE CHECKLIST:</v>
      </c>
    </row>
    <row r="24">
      <c r="A24" t="str">
        <v>Structure (Building)</v>
      </c>
      <c r="B24" t="str">
        <v>Covered?</v>
      </c>
    </row>
    <row r="25">
      <c r="A25" t="str">
        <v>Contents</v>
      </c>
      <c r="B25" t="str">
        <v/>
      </c>
    </row>
    <row r="26">
      <c r="A26" t="str">
        <v>Fire Damage</v>
      </c>
      <c r="B26" t="str">
        <v/>
      </c>
    </row>
    <row r="27">
      <c r="A27" t="str">
        <v>Natural Disasters</v>
      </c>
      <c r="B27" t="str">
        <v/>
      </c>
    </row>
    <row r="28">
      <c r="A28" t="str">
        <v>Theft/Burglary</v>
      </c>
      <c r="B28" t="str">
        <v/>
      </c>
    </row>
    <row r="29">
      <c r="A29" t="str">
        <v>Third Party Liability</v>
      </c>
      <c r="B29" t="str">
        <v/>
      </c>
    </row>
  </sheetData>
  <ignoredErrors>
    <ignoredError numberStoredAsText="1" sqref="A1:B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23"/>
  <sheetViews>
    <sheetView workbookViewId="0"/>
  </sheetViews>
  <cols>
    <col min="1" max="1" width="15.83203125" customWidth="1"/>
    <col min="2" max="2" width="15.83203125" customWidth="1"/>
    <col min="3" max="3" width="18.83203125" customWidth="1"/>
    <col min="4" max="4" width="15.83203125" customWidth="1"/>
    <col min="5" max="5" width="12.83203125" customWidth="1"/>
    <col min="6" max="6" width="12.83203125" customWidth="1"/>
    <col min="7" max="7" width="12.83203125" customWidth="1"/>
    <col min="8" max="8" width="15.83203125" customWidth="1"/>
  </cols>
  <sheetData>
    <row r="1">
      <c r="A1" t="str">
        <v>POLICY TRACKER</v>
      </c>
    </row>
    <row r="2">
      <c r="A2" t="str">
        <v/>
      </c>
    </row>
    <row r="3">
      <c r="A3" t="str">
        <v>Keep all your insurance policies organized.</v>
      </c>
    </row>
    <row r="4">
      <c r="A4" t="str">
        <v/>
      </c>
    </row>
    <row r="5">
      <c r="A5" t="str">
        <v>Policy Type</v>
      </c>
      <c r="B5" t="str">
        <v>Company</v>
      </c>
      <c r="C5" t="str">
        <v>Policy Number</v>
      </c>
      <c r="D5" t="str">
        <v>Sum Assured</v>
      </c>
      <c r="E5" t="str">
        <v>Premium</v>
      </c>
      <c r="F5" t="str">
        <v>Start Date</v>
      </c>
      <c r="G5" t="str">
        <v>End Date</v>
      </c>
      <c r="H5" t="str">
        <v>Nominee</v>
      </c>
    </row>
    <row r="6">
      <c r="A6" t="str">
        <v>Health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</row>
    <row r="7">
      <c r="A7" t="str">
        <v>Term Life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</row>
    <row r="8">
      <c r="A8" t="str">
        <v>Car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</row>
    <row r="9">
      <c r="A9" t="str">
        <v>Two-Wheeler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</row>
    <row r="10">
      <c r="A10" t="str">
        <v>Personal Accident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</row>
    <row r="11">
      <c r="A11" t="str">
        <v>Home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</row>
    <row r="13">
      <c r="A13" t="str">
        <v/>
      </c>
    </row>
    <row r="14">
      <c r="A14" t="str">
        <v>TOTAL ANNUAL PREMIUM</v>
      </c>
      <c r="B14">
        <f>SUM(E6:E12)</f>
      </c>
    </row>
    <row r="15">
      <c r="A15" t="str">
        <v/>
      </c>
    </row>
    <row r="16">
      <c r="A16" t="str">
        <v>RENEWAL CALENDAR</v>
      </c>
    </row>
    <row r="17">
      <c r="A17" t="str">
        <v>Month</v>
      </c>
      <c r="B17" t="str">
        <v>Policies Due</v>
      </c>
      <c r="C17" t="str">
        <v>Premium</v>
      </c>
    </row>
    <row r="18">
      <c r="A18" t="str">
        <v>January</v>
      </c>
      <c r="B18" t="str">
        <v/>
      </c>
      <c r="C18" t="str">
        <v/>
      </c>
    </row>
    <row r="19">
      <c r="A19" t="str">
        <v>February</v>
      </c>
      <c r="B19" t="str">
        <v/>
      </c>
      <c r="C19" t="str">
        <v/>
      </c>
    </row>
    <row r="20">
      <c r="A20" t="str">
        <v>March</v>
      </c>
      <c r="B20" t="str">
        <v/>
      </c>
      <c r="C20" t="str">
        <v/>
      </c>
    </row>
    <row r="21">
      <c r="A21" t="str">
        <v>April</v>
      </c>
      <c r="B21" t="str">
        <v/>
      </c>
      <c r="C21" t="str">
        <v/>
      </c>
    </row>
    <row r="22">
      <c r="A22" t="str">
        <v>May</v>
      </c>
      <c r="B22" t="str">
        <v/>
      </c>
      <c r="C22" t="str">
        <v/>
      </c>
    </row>
    <row r="23">
      <c r="A23" t="str">
        <v>June</v>
      </c>
      <c r="B23" t="str">
        <v/>
      </c>
      <c r="C23" t="str">
        <v/>
      </c>
    </row>
  </sheetData>
  <ignoredErrors>
    <ignoredError numberStoredAsText="1" sqref="A1:H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Health</vt:lpstr>
      <vt:lpstr>Life</vt:lpstr>
      <vt:lpstr>Other</vt:lpstr>
      <vt:lpstr>Policy Tracker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