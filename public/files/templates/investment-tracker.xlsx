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Mutual Funds" sheetId="2" r:id="rId2"/>
    <sheet name="Stocks" sheetId="3" r:id="rId3"/>
    <sheet name="Fixed Inco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INVESTMENT PORTFOLIO DASHBOARD</v>
      </c>
    </row>
    <row r="2">
      <c r="A2" t="str">
        <v/>
      </c>
    </row>
    <row r="3">
      <c r="A3" t="str">
        <v>Last Updated:</v>
      </c>
      <c r="B3" t="str">
        <v/>
      </c>
      <c r="C3" t="str">
        <v>Portfolio Age (Years):</v>
      </c>
      <c r="D3">
        <v>1</v>
      </c>
    </row>
    <row r="4">
      <c r="A4" t="str">
        <v/>
      </c>
    </row>
    <row r="5">
      <c r="A5" t="str">
        <v>PORTFOLIO SUMMARY</v>
      </c>
    </row>
    <row r="6">
      <c r="A6" t="str">
        <v/>
      </c>
    </row>
    <row r="7">
      <c r="A7" t="str">
        <v>Asset Class</v>
      </c>
      <c r="B7" t="str">
        <v>Invested</v>
      </c>
      <c r="C7" t="str">
        <v>Current Value</v>
      </c>
      <c r="D7" t="str">
        <v>Gain/Loss</v>
      </c>
      <c r="E7" t="str">
        <v>Return %</v>
      </c>
      <c r="F7" t="str">
        <v>Allocation %</v>
      </c>
    </row>
    <row r="8">
      <c r="A8" t="str">
        <v>Mutual Funds</v>
      </c>
      <c r="B8">
        <f>'Mutual Funds'!D25</f>
      </c>
      <c r="C8">
        <f>'Mutual Funds'!E25</f>
      </c>
      <c r="D8">
        <f>C8-B8</f>
      </c>
      <c r="E8">
        <f>IF(B8&gt;0,ROUND((C8-B8)/B8*100,2),0)</f>
      </c>
      <c r="F8">
        <f>IF($C$13&gt;0,ROUND(C8/$C$13*100,1),0)</f>
      </c>
    </row>
    <row r="9">
      <c r="A9" t="str">
        <v>Stocks</v>
      </c>
      <c r="B9">
        <f>Stocks!F20</f>
      </c>
      <c r="C9">
        <f>Stocks!G20</f>
      </c>
      <c r="D9">
        <f>C9-B9</f>
      </c>
      <c r="E9">
        <f>IF(B9&gt;0,ROUND((C9-B9)/B9*100,2),0)</f>
      </c>
      <c r="F9">
        <f>IF($C$13&gt;0,ROUND(C9/$C$13*100,1),0)</f>
      </c>
    </row>
    <row r="10">
      <c r="A10" t="str">
        <v>Fixed Deposits</v>
      </c>
      <c r="B10">
        <f>'Fixed Income'!B18</f>
      </c>
      <c r="C10">
        <f>'Fixed Income'!C18</f>
      </c>
      <c r="D10">
        <f>C10-B10</f>
      </c>
      <c r="E10">
        <f>IF(B10&gt;0,ROUND((C10-B10)/B10*100,2),0)</f>
      </c>
      <c r="F10">
        <f>IF($C$13&gt;0,ROUND(C10/$C$13*100,1),0)</f>
      </c>
    </row>
    <row r="11">
      <c r="A11" t="str">
        <v>PPF/EPF</v>
      </c>
      <c r="B11">
        <f>'Fixed Income'!B19</f>
      </c>
      <c r="C11">
        <f>'Fixed Income'!C19</f>
      </c>
      <c r="D11">
        <f>C11-B11</f>
      </c>
      <c r="E11">
        <f>IF(B11&gt;0,ROUND((C11-B11)/B11*100,2),0)</f>
      </c>
      <c r="F11">
        <f>IF($C$13&gt;0,ROUND(C11/$C$13*100,1),0)</f>
      </c>
    </row>
    <row r="12">
      <c r="A12" t="str">
        <v>NPS</v>
      </c>
      <c r="B12">
        <f>'Fixed Income'!B20</f>
      </c>
      <c r="C12">
        <f>'Fixed Income'!C20</f>
      </c>
      <c r="D12">
        <f>C12-B12</f>
      </c>
      <c r="E12">
        <f>IF(B12&gt;0,ROUND((C12-B12)/B12*100,2),0)</f>
      </c>
      <c r="F12">
        <f>IF($C$13&gt;0,ROUND(C12/$C$13*100,1),0)</f>
      </c>
    </row>
    <row r="13">
      <c r="A13" t="str">
        <v/>
      </c>
    </row>
    <row r="14">
      <c r="A14" t="str">
        <v>TOTAL PORTFOLIO</v>
      </c>
      <c r="B14">
        <f>SUM(B8:B12)</f>
      </c>
      <c r="C14">
        <f>SUM(C8:C12)</f>
      </c>
      <c r="D14">
        <f>SUM(D8:D12)</f>
      </c>
      <c r="E14">
        <f>IF(B14&gt;0,ROUND((C14-B14)/B14*100,2),0)</f>
      </c>
      <c r="F14">
        <v>100</v>
      </c>
    </row>
    <row r="15">
      <c r="A15" t="str">
        <v/>
      </c>
    </row>
    <row r="16">
      <c r="A16" t="str">
        <v>PERFORMANCE METRICS</v>
      </c>
    </row>
    <row r="17">
      <c r="A17" t="str">
        <v/>
      </c>
    </row>
    <row r="18">
      <c r="A18" t="str">
        <v>Absolute Return</v>
      </c>
      <c r="B18">
        <f>D14</f>
      </c>
    </row>
    <row r="19">
      <c r="A19" t="str">
        <v>Absolute Return %</v>
      </c>
      <c r="B19">
        <f>E14</f>
      </c>
    </row>
    <row r="20">
      <c r="A20" t="str">
        <v>CAGR</v>
      </c>
      <c r="B20">
        <f>IF(D3&gt;=1,ROUND((POWER(C14/B14,1/D3)-1)*100,2),"Need 1+ year")</f>
      </c>
    </row>
    <row r="21">
      <c r="A21" t="str">
        <v/>
      </c>
    </row>
    <row r="22">
      <c r="A22" t="str">
        <v>ASSET ALLOCATION ANALYSIS</v>
      </c>
    </row>
    <row r="23">
      <c r="A23" t="str">
        <v/>
      </c>
    </row>
    <row r="24">
      <c r="A24" t="str">
        <v>Your Age:</v>
      </c>
      <c r="B24">
        <v>30</v>
      </c>
    </row>
    <row r="25">
      <c r="A25" t="str">
        <v>Recommended Equity %:</v>
      </c>
      <c r="B25">
        <f>100-B24</f>
      </c>
    </row>
    <row r="26">
      <c r="A26" t="str">
        <v>Your Equity %:</v>
      </c>
      <c r="B26">
        <f>F8+F9</f>
      </c>
    </row>
    <row r="27">
      <c r="A27" t="str">
        <v>Status:</v>
      </c>
      <c r="B27">
        <f>IF(ABS(B25-B26)&lt;=15,"Balanced","Rebalance needed")</f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25.83203125" customWidth="1"/>
    <col min="2" max="2" width="10.83203125" customWidth="1"/>
    <col min="3" max="3" width="12.83203125" customWidth="1"/>
    <col min="4" max="4" width="12.83203125" customWidth="1"/>
    <col min="5" max="5" width="12.83203125" customWidth="1"/>
    <col min="6" max="6" width="8.83203125" customWidth="1"/>
    <col min="7" max="7" width="10.83203125" customWidth="1"/>
    <col min="8" max="8" width="12.83203125" customWidth="1"/>
    <col min="9" max="9" width="10.83203125" customWidth="1"/>
    <col min="10" max="10" width="8.83203125" customWidth="1"/>
  </cols>
  <sheetData>
    <row r="1">
      <c r="A1" t="str">
        <v>MUTUAL FUNDS TRACKER</v>
      </c>
    </row>
    <row r="2">
      <c r="A2" t="str">
        <v/>
      </c>
    </row>
    <row r="3">
      <c r="A3" t="str">
        <v>Track your mutual fund investments with returns calculation.</v>
      </c>
    </row>
    <row r="4">
      <c r="A4" t="str">
        <v/>
      </c>
    </row>
    <row r="5">
      <c r="A5" t="str">
        <v>Fund Name</v>
      </c>
      <c r="B5" t="str">
        <v>AMC</v>
      </c>
      <c r="C5" t="str">
        <v>Category</v>
      </c>
      <c r="D5" t="str">
        <v>Invested</v>
      </c>
      <c r="E5" t="str">
        <v>Current Value</v>
      </c>
      <c r="F5" t="str">
        <v>Units</v>
      </c>
      <c r="G5" t="str">
        <v>Avg NAV</v>
      </c>
      <c r="H5" t="str">
        <v>Current NAV</v>
      </c>
      <c r="I5" t="str">
        <v>Return %</v>
      </c>
      <c r="J5" t="str">
        <v>Type</v>
      </c>
    </row>
    <row r="6">
      <c r="A6" t="str">
        <v>Axis Bluechip Fund</v>
      </c>
      <c r="B6" t="str">
        <v>Axis</v>
      </c>
      <c r="C6" t="str">
        <v>Large Cap</v>
      </c>
      <c r="D6">
        <v>150000</v>
      </c>
      <c r="E6">
        <v>172500</v>
      </c>
      <c r="F6">
        <v>1875</v>
      </c>
      <c r="G6">
        <v>80</v>
      </c>
      <c r="H6">
        <v>92</v>
      </c>
      <c r="I6">
        <f>ROUND((E6-D6)/D6*100,2)</f>
      </c>
      <c r="J6" t="str">
        <v>SIP</v>
      </c>
    </row>
    <row r="7">
      <c r="A7" t="str">
        <v>Parag Parikh Flexi Cap</v>
      </c>
      <c r="B7" t="str">
        <v>PPFAS</v>
      </c>
      <c r="C7" t="str">
        <v>Flexi Cap</v>
      </c>
      <c r="D7">
        <v>120000</v>
      </c>
      <c r="E7">
        <v>144000</v>
      </c>
      <c r="F7">
        <v>1600</v>
      </c>
      <c r="G7">
        <v>75</v>
      </c>
      <c r="H7">
        <v>90</v>
      </c>
      <c r="I7">
        <f>ROUND((E7-D7)/D7*100,2)</f>
      </c>
      <c r="J7" t="str">
        <v>SIP</v>
      </c>
    </row>
    <row r="8">
      <c r="A8" t="str">
        <v>Mirae Asset Large Cap</v>
      </c>
      <c r="B8" t="str">
        <v>Mirae</v>
      </c>
      <c r="C8" t="str">
        <v>Large Cap</v>
      </c>
      <c r="D8">
        <v>80000</v>
      </c>
      <c r="E8">
        <v>88000</v>
      </c>
      <c r="F8">
        <v>800</v>
      </c>
      <c r="G8">
        <v>100</v>
      </c>
      <c r="H8">
        <v>110</v>
      </c>
      <c r="I8">
        <f>ROUND((E8-D8)/D8*100,2)</f>
      </c>
      <c r="J8" t="str">
        <v>Lump</v>
      </c>
    </row>
    <row r="9">
      <c r="A9" t="str">
        <v>Kotak Small Cap</v>
      </c>
      <c r="B9" t="str">
        <v>Kotak</v>
      </c>
      <c r="C9" t="str">
        <v>Small Cap</v>
      </c>
      <c r="D9">
        <v>60000</v>
      </c>
      <c r="E9">
        <v>78000</v>
      </c>
      <c r="F9">
        <v>400</v>
      </c>
      <c r="G9">
        <v>150</v>
      </c>
      <c r="H9">
        <v>195</v>
      </c>
      <c r="I9">
        <f>ROUND((E9-D9)/D9*100,2)</f>
      </c>
      <c r="J9" t="str">
        <v>SIP</v>
      </c>
    </row>
    <row r="10">
      <c r="A10" t="str">
        <v>SBI Equity Hybrid</v>
      </c>
      <c r="B10" t="str">
        <v>SBI</v>
      </c>
      <c r="C10" t="str">
        <v>Hybrid</v>
      </c>
      <c r="D10">
        <v>50000</v>
      </c>
      <c r="E10">
        <v>54000</v>
      </c>
      <c r="F10">
        <v>250</v>
      </c>
      <c r="G10">
        <v>200</v>
      </c>
      <c r="H10">
        <v>216</v>
      </c>
      <c r="I10">
        <f>ROUND((E10-D10)/D10*100,2)</f>
      </c>
      <c r="J10" t="str">
        <v>Lump</v>
      </c>
    </row>
    <row r="11">
      <c r="A11" t="str">
        <v>HDFC Index Nifty 50</v>
      </c>
      <c r="B11" t="str">
        <v>HDFC</v>
      </c>
      <c r="C11" t="str">
        <v>Index</v>
      </c>
      <c r="D11">
        <v>40000</v>
      </c>
      <c r="E11">
        <v>44000</v>
      </c>
      <c r="F11">
        <v>200</v>
      </c>
      <c r="G11">
        <v>200</v>
      </c>
      <c r="H11">
        <v>220</v>
      </c>
      <c r="I11">
        <f>ROUND((E11-D11)/D11*100,2)</f>
      </c>
      <c r="J11" t="str">
        <v>SIP</v>
      </c>
    </row>
    <row r="12">
      <c r="A12" t="str">
        <v>UTI Nifty Next 50</v>
      </c>
      <c r="B12" t="str">
        <v>UTI</v>
      </c>
      <c r="C12" t="str">
        <v>Index</v>
      </c>
      <c r="D12">
        <v>30000</v>
      </c>
      <c r="E12">
        <v>33000</v>
      </c>
      <c r="F12">
        <v>600</v>
      </c>
      <c r="G12">
        <v>50</v>
      </c>
      <c r="H12">
        <v>55</v>
      </c>
      <c r="I12">
        <f>ROUND((E12-D12)/D12*100,2)</f>
      </c>
      <c r="J12" t="str">
        <v>SIP</v>
      </c>
    </row>
    <row r="13">
      <c r="A13" t="str">
        <v>Add more funds...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</row>
    <row r="15">
      <c r="A15" t="str">
        <v>CATEGORY SUMMARY</v>
      </c>
    </row>
    <row r="16">
      <c r="A16" t="str">
        <v>Category</v>
      </c>
      <c r="B16" t="str">
        <v>Invested</v>
      </c>
      <c r="C16" t="str">
        <v>Value</v>
      </c>
      <c r="D16" t="str">
        <v>Return %</v>
      </c>
    </row>
    <row r="17">
      <c r="A17" t="str">
        <v>Large Cap</v>
      </c>
      <c r="B17">
        <f>D6+D8</f>
      </c>
      <c r="C17">
        <f>E6+E8</f>
      </c>
      <c r="D17">
        <f>IF(B17&gt;0,ROUND((C17-B17)/B17*100,2),0)</f>
      </c>
    </row>
    <row r="18">
      <c r="A18" t="str">
        <v>Flexi/Multi Cap</v>
      </c>
      <c r="B18">
        <f>D7</f>
      </c>
      <c r="C18">
        <f>E7</f>
      </c>
      <c r="D18">
        <f>IF(B18&gt;0,ROUND((C18-B18)/B18*100,2),0)</f>
      </c>
    </row>
    <row r="19">
      <c r="A19" t="str">
        <v>Small Cap</v>
      </c>
      <c r="B19">
        <f>D9</f>
      </c>
      <c r="C19">
        <f>E9</f>
      </c>
      <c r="D19">
        <f>IF(B19&gt;0,ROUND((C19-B19)/B19*100,2),0)</f>
      </c>
    </row>
    <row r="20">
      <c r="A20" t="str">
        <v>Index Funds</v>
      </c>
      <c r="B20">
        <f>D11+D12</f>
      </c>
      <c r="C20">
        <f>E11+E12</f>
      </c>
      <c r="D20">
        <f>IF(B20&gt;0,ROUND((C20-B20)/B20*100,2),0)</f>
      </c>
    </row>
    <row r="21">
      <c r="A21" t="str">
        <v>Hybrid</v>
      </c>
      <c r="B21">
        <f>D10</f>
      </c>
      <c r="C21">
        <f>E10</f>
      </c>
      <c r="D21">
        <f>IF(B21&gt;0,ROUND((C21-B21)/B21*100,2),0)</f>
      </c>
    </row>
    <row r="22">
      <c r="A22" t="str">
        <v/>
      </c>
    </row>
    <row r="23">
      <c r="A23" t="str">
        <v>TOTAL MF PORTFOLIO</v>
      </c>
      <c r="B23">
        <f>SUM(D6:D13)</f>
      </c>
      <c r="C23">
        <f>SUM(E6:E13)</f>
      </c>
      <c r="D23">
        <f>IF(B25&gt;0,ROUND((C25-B25)/B25*100,2),0)</f>
      </c>
    </row>
  </sheetData>
  <ignoredErrors>
    <ignoredError numberStoredAsText="1" sqref="A1:J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22.83203125" customWidth="1"/>
    <col min="2" max="2" width="15.83203125" customWidth="1"/>
    <col min="3" max="3" width="12.83203125" customWidth="1"/>
    <col min="4" max="4" width="6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10.83203125" customWidth="1"/>
    <col min="10" max="10" width="10.83203125" customWidth="1"/>
  </cols>
  <sheetData>
    <row r="1">
      <c r="A1" t="str">
        <v>STOCK PORTFOLIO TRACKER</v>
      </c>
    </row>
    <row r="2">
      <c r="A2" t="str">
        <v/>
      </c>
    </row>
    <row r="3">
      <c r="A3" t="str">
        <v>Track your direct equity investments.</v>
      </c>
    </row>
    <row r="4">
      <c r="A4" t="str">
        <v/>
      </c>
    </row>
    <row r="5">
      <c r="A5" t="str">
        <v>Stock Name</v>
      </c>
      <c r="B5" t="str">
        <v>Symbol</v>
      </c>
      <c r="C5" t="str">
        <v>Sector</v>
      </c>
      <c r="D5" t="str">
        <v>Qty</v>
      </c>
      <c r="E5" t="str">
        <v>Avg Price</v>
      </c>
      <c r="F5" t="str">
        <v>CMP</v>
      </c>
      <c r="G5" t="str">
        <v>Invested</v>
      </c>
      <c r="H5" t="str">
        <v>Value</v>
      </c>
      <c r="I5" t="str">
        <v>Gain/Loss</v>
      </c>
      <c r="J5" t="str">
        <v>Return %</v>
      </c>
    </row>
    <row r="6">
      <c r="A6" t="str">
        <v>Reliance Industries</v>
      </c>
      <c r="B6" t="str">
        <v>RELIANCE</v>
      </c>
      <c r="C6" t="str">
        <v>Energy</v>
      </c>
      <c r="D6">
        <v>20</v>
      </c>
      <c r="E6">
        <v>2400</v>
      </c>
      <c r="F6">
        <v>2850</v>
      </c>
      <c r="G6">
        <f>D6*E6</f>
      </c>
      <c r="H6">
        <f>D6*F6</f>
      </c>
      <c r="I6">
        <f>H6-G6</f>
      </c>
      <c r="J6">
        <f>ROUND(I6/G6*100,2)</f>
      </c>
    </row>
    <row r="7">
      <c r="A7" t="str">
        <v>HDFC Bank</v>
      </c>
      <c r="B7" t="str">
        <v>HDFCBANK</v>
      </c>
      <c r="C7" t="str">
        <v>Banking</v>
      </c>
      <c r="D7">
        <v>30</v>
      </c>
      <c r="E7">
        <v>1550</v>
      </c>
      <c r="F7">
        <v>1720</v>
      </c>
      <c r="G7">
        <f>D7*E7</f>
      </c>
      <c r="H7">
        <f>D7*F7</f>
      </c>
      <c r="I7">
        <f>H7-G7</f>
      </c>
      <c r="J7">
        <f>ROUND(I7/G7*100,2)</f>
      </c>
    </row>
    <row r="8">
      <c r="A8" t="str">
        <v>Infosys</v>
      </c>
      <c r="B8" t="str">
        <v>INFY</v>
      </c>
      <c r="C8" t="str">
        <v>IT</v>
      </c>
      <c r="D8">
        <v>40</v>
      </c>
      <c r="E8">
        <v>1380</v>
      </c>
      <c r="F8">
        <v>1520</v>
      </c>
      <c r="G8">
        <f>D8*E8</f>
      </c>
      <c r="H8">
        <f>D8*F8</f>
      </c>
      <c r="I8">
        <f>H8-G8</f>
      </c>
      <c r="J8">
        <f>ROUND(I8/G8*100,2)</f>
      </c>
    </row>
    <row r="9">
      <c r="A9" t="str">
        <v>TCS</v>
      </c>
      <c r="B9" t="str">
        <v>TCS</v>
      </c>
      <c r="C9" t="str">
        <v>IT</v>
      </c>
      <c r="D9">
        <v>15</v>
      </c>
      <c r="E9">
        <v>3400</v>
      </c>
      <c r="F9">
        <v>3850</v>
      </c>
      <c r="G9">
        <f>D9*E9</f>
      </c>
      <c r="H9">
        <f>D9*F9</f>
      </c>
      <c r="I9">
        <f>H9-G9</f>
      </c>
      <c r="J9">
        <f>ROUND(I9/G9*100,2)</f>
      </c>
    </row>
    <row r="10">
      <c r="A10" t="str">
        <v>ITC</v>
      </c>
      <c r="B10" t="str">
        <v>ITC</v>
      </c>
      <c r="C10" t="str">
        <v>FMCG</v>
      </c>
      <c r="D10">
        <v>100</v>
      </c>
      <c r="E10">
        <v>420</v>
      </c>
      <c r="F10">
        <v>465</v>
      </c>
      <c r="G10">
        <f>D10*E10</f>
      </c>
      <c r="H10">
        <f>D10*F10</f>
      </c>
      <c r="I10">
        <f>H10-G10</f>
      </c>
      <c r="J10">
        <f>ROUND(I10/G10*100,2)</f>
      </c>
    </row>
    <row r="11">
      <c r="A11" t="str">
        <v>Asian Paints</v>
      </c>
      <c r="B11" t="str">
        <v>ASIANPAINT</v>
      </c>
      <c r="C11" t="str">
        <v>Consumer</v>
      </c>
      <c r="D11">
        <v>10</v>
      </c>
      <c r="E11">
        <v>2800</v>
      </c>
      <c r="F11">
        <v>2650</v>
      </c>
      <c r="G11">
        <f>D11*E11</f>
      </c>
      <c r="H11">
        <f>D11*F11</f>
      </c>
      <c r="I11">
        <f>H11-G11</f>
      </c>
      <c r="J11">
        <f>ROUND(I11/G11*100,2)</f>
      </c>
    </row>
    <row r="12">
      <c r="A12" t="str">
        <v>Bajaj Finance</v>
      </c>
      <c r="B12" t="str">
        <v>BAJFINANCE</v>
      </c>
      <c r="C12" t="str">
        <v>NBFC</v>
      </c>
      <c r="D12">
        <v>8</v>
      </c>
      <c r="E12">
        <v>7200</v>
      </c>
      <c r="F12">
        <v>7800</v>
      </c>
      <c r="G12">
        <f>D12*E12</f>
      </c>
      <c r="H12">
        <f>D12*F12</f>
      </c>
      <c r="I12">
        <f>H12-G12</f>
      </c>
      <c r="J12">
        <f>ROUND(I12/G12*100,2)</f>
      </c>
    </row>
    <row r="13">
      <c r="A13" t="str">
        <v>Titan Company</v>
      </c>
      <c r="B13" t="str">
        <v>TITAN</v>
      </c>
      <c r="C13" t="str">
        <v>Consumer</v>
      </c>
      <c r="D13">
        <v>12</v>
      </c>
      <c r="E13">
        <v>3100</v>
      </c>
      <c r="F13">
        <v>3450</v>
      </c>
      <c r="G13">
        <f>D13*E13</f>
      </c>
      <c r="H13">
        <f>D13*F13</f>
      </c>
      <c r="I13">
        <f>H13-G13</f>
      </c>
      <c r="J13">
        <f>ROUND(I13/G13*100,2)</f>
      </c>
    </row>
    <row r="14">
      <c r="A14" t="str">
        <v>Add more stocks...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</row>
    <row r="16">
      <c r="A16" t="str">
        <v>SECTOR SUMMARY</v>
      </c>
    </row>
    <row r="17">
      <c r="A17" t="str">
        <v>Sector</v>
      </c>
      <c r="B17" t="str">
        <v>Invested</v>
      </c>
      <c r="C17" t="str">
        <v>Value</v>
      </c>
      <c r="D17" t="str">
        <v>Return %</v>
      </c>
    </row>
    <row r="18">
      <c r="A18" t="str">
        <v>IT</v>
      </c>
      <c r="B18">
        <f>G8+G9</f>
      </c>
      <c r="C18">
        <f>H8+H9</f>
      </c>
      <c r="D18">
        <f>IF(B18&gt;0,ROUND((C18-B18)/B18*100,2),0)</f>
      </c>
    </row>
    <row r="19">
      <c r="A19" t="str">
        <v>Banking/NBFC</v>
      </c>
      <c r="B19">
        <f>G7+G12</f>
      </c>
      <c r="C19">
        <f>H7+H12</f>
      </c>
      <c r="D19">
        <f>IF(B19&gt;0,ROUND((C19-B19)/B19*100,2),0)</f>
      </c>
    </row>
    <row r="20">
      <c r="A20" t="str">
        <v/>
      </c>
    </row>
    <row r="21">
      <c r="A21" t="str">
        <v>TOTAL STOCKS</v>
      </c>
      <c r="B21">
        <f>SUM(G6:G14)</f>
      </c>
      <c r="C21">
        <f>SUM(H6:H14)</f>
      </c>
      <c r="D21">
        <f>IF(B21&gt;0,ROUND((C21-B21)/B21*100,2),0)</f>
      </c>
    </row>
  </sheetData>
  <ignoredErrors>
    <ignoredError numberStoredAsText="1" sqref="A1:J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1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5.83203125" customWidth="1"/>
  </cols>
  <sheetData>
    <row r="1">
      <c r="A1" t="str">
        <v>FIXED INCOME INVESTMENTS</v>
      </c>
    </row>
    <row r="2">
      <c r="A2" t="str">
        <v/>
      </c>
    </row>
    <row r="3">
      <c r="A3" t="str">
        <v>Track FDs, PPF, NPS, and other safe investments.</v>
      </c>
    </row>
    <row r="4">
      <c r="A4" t="str">
        <v/>
      </c>
    </row>
    <row r="5">
      <c r="A5" t="str">
        <v>FIXED DEPOSITS</v>
      </c>
    </row>
    <row r="6">
      <c r="A6" t="str">
        <v>Bank/NBFC</v>
      </c>
      <c r="B6" t="str">
        <v>Principal</v>
      </c>
      <c r="C6" t="str">
        <v>Current Value</v>
      </c>
      <c r="D6" t="str">
        <v>Interest Rate %</v>
      </c>
      <c r="E6" t="str">
        <v>Tenure</v>
      </c>
      <c r="F6" t="str">
        <v>Maturity Date</v>
      </c>
    </row>
    <row r="7">
      <c r="A7" t="str">
        <v>SBI FD</v>
      </c>
      <c r="B7">
        <v>300000</v>
      </c>
      <c r="C7">
        <f>B7*(1+D7/100)^0.5</f>
      </c>
      <c r="D7">
        <v>7.1</v>
      </c>
      <c r="E7" t="str">
        <v>1 Year</v>
      </c>
      <c r="F7" t="str">
        <v>31-Dec-2025</v>
      </c>
    </row>
    <row r="8">
      <c r="A8" t="str">
        <v>HDFC FD</v>
      </c>
      <c r="B8">
        <v>200000</v>
      </c>
      <c r="C8">
        <f>B8*(1+D8/100)^0.5</f>
      </c>
      <c r="D8">
        <v>7.25</v>
      </c>
      <c r="E8" t="str">
        <v>2 Years</v>
      </c>
      <c r="F8" t="str">
        <v>31-Dec-2026</v>
      </c>
    </row>
    <row r="9">
      <c r="A9" t="str">
        <v>Bajaj Finance FD</v>
      </c>
      <c r="B9">
        <v>100000</v>
      </c>
      <c r="C9">
        <f>B9*(1+D9/100)^0.25</f>
      </c>
      <c r="D9">
        <v>8.1</v>
      </c>
      <c r="E9" t="str">
        <v>1 Year</v>
      </c>
      <c r="F9" t="str">
        <v>31-Mar-2025</v>
      </c>
    </row>
    <row r="10">
      <c r="A10" t="str">
        <v>Add more FDs...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</row>
    <row r="12">
      <c r="A12" t="str">
        <v>FD Total</v>
      </c>
      <c r="B12">
        <f>SUM(B7:B10)</f>
      </c>
      <c r="C12">
        <f>SUM(C7:C10)</f>
      </c>
    </row>
    <row r="13">
      <c r="A13" t="str">
        <v/>
      </c>
    </row>
    <row r="14">
      <c r="A14" t="str">
        <v>PPF / EPF</v>
      </c>
    </row>
    <row r="15">
      <c r="A15" t="str">
        <v>Account</v>
      </c>
      <c r="B15" t="str">
        <v>Contribution</v>
      </c>
      <c r="C15" t="str">
        <v>Current Value</v>
      </c>
      <c r="D15" t="str">
        <v>Interest Rate</v>
      </c>
    </row>
    <row r="16">
      <c r="A16" t="str">
        <v>PPF Account</v>
      </c>
      <c r="B16">
        <v>500000</v>
      </c>
      <c r="C16">
        <f>B16*1.15</f>
      </c>
      <c r="D16" t="str">
        <v>7.1%</v>
      </c>
    </row>
    <row r="17">
      <c r="A17" t="str">
        <v>EPF Balance</v>
      </c>
      <c r="B17">
        <v>800000</v>
      </c>
      <c r="C17">
        <f>B17*1.1</f>
      </c>
      <c r="D17" t="str">
        <v>8.25%</v>
      </c>
    </row>
    <row r="18">
      <c r="A18" t="str">
        <v/>
      </c>
    </row>
    <row r="19">
      <c r="A19" t="str">
        <v>PPF/EPF Total</v>
      </c>
      <c r="B19">
        <f>SUM(B16:B17)</f>
      </c>
      <c r="C19">
        <f>SUM(C16:C17)</f>
      </c>
    </row>
    <row r="20">
      <c r="A20" t="str">
        <v/>
      </c>
    </row>
    <row r="21">
      <c r="A21" t="str">
        <v>NPS</v>
      </c>
    </row>
    <row r="22">
      <c r="A22" t="str">
        <v>Account</v>
      </c>
      <c r="B22" t="str">
        <v>Contribution</v>
      </c>
      <c r="C22" t="str">
        <v>Current Value</v>
      </c>
      <c r="D22" t="str">
        <v>Allocation</v>
      </c>
    </row>
    <row r="23">
      <c r="A23" t="str">
        <v>Tier 1</v>
      </c>
      <c r="B23">
        <v>200000</v>
      </c>
      <c r="C23">
        <v>240000</v>
      </c>
      <c r="D23" t="str">
        <v>Equity: 75%</v>
      </c>
    </row>
    <row r="24">
      <c r="A24" t="str">
        <v>Tier 2</v>
      </c>
      <c r="B24">
        <v>50000</v>
      </c>
      <c r="C24">
        <v>55000</v>
      </c>
      <c r="D24" t="str">
        <v>Equity: 50%</v>
      </c>
    </row>
    <row r="25">
      <c r="A25" t="str">
        <v/>
      </c>
    </row>
    <row r="26">
      <c r="A26" t="str">
        <v>NPS Total</v>
      </c>
      <c r="B26">
        <f>SUM(B23:B24)</f>
      </c>
      <c r="C26">
        <f>SUM(C23:C24)</f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Mutual Funds</vt:lpstr>
      <vt:lpstr>Stocks</vt:lpstr>
      <vt:lpstr>Fixed 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