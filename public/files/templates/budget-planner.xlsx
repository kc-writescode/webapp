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Income" sheetId="2" r:id="rId2"/>
    <sheet name="Expenses" sheetId="3" r:id="rId3"/>
    <sheet name="Monthly Histo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</cols>
  <sheetData>
    <row r="1">
      <c r="A1" t="str">
        <v>MONTHLY BUDGET DASHBOARD</v>
      </c>
    </row>
    <row r="2">
      <c r="A2" t="str">
        <v>Month:</v>
      </c>
      <c r="B2" t="str">
        <v>January</v>
      </c>
      <c r="C2" t="str">
        <v/>
      </c>
      <c r="D2" t="str">
        <v>Year:</v>
      </c>
      <c r="E2">
        <v>2025</v>
      </c>
    </row>
    <row r="3">
      <c r="A3" t="str">
        <v/>
      </c>
    </row>
    <row r="4">
      <c r="A4" t="str">
        <v>INCOME SUMMARY</v>
      </c>
    </row>
    <row r="5">
      <c r="A5" t="str">
        <v>Total Monthly Income</v>
      </c>
      <c r="B5">
        <f>Income!E15</f>
      </c>
    </row>
    <row r="6">
      <c r="A6" t="str">
        <v/>
      </c>
    </row>
    <row r="7">
      <c r="A7" t="str">
        <v>EXPENSE SUMMARY</v>
      </c>
    </row>
    <row r="8">
      <c r="A8" t="str">
        <v>Category</v>
      </c>
      <c r="B8" t="str">
        <v>Budgeted</v>
      </c>
      <c r="C8" t="str">
        <v>Actual</v>
      </c>
      <c r="D8" t="str">
        <v>Variance</v>
      </c>
      <c r="E8" t="str">
        <v>Status</v>
      </c>
    </row>
    <row r="9">
      <c r="A9" t="str">
        <v>Housing &amp; Utilities</v>
      </c>
      <c r="B9">
        <f>Expenses!C17</f>
      </c>
      <c r="C9">
        <f>Expenses!D17</f>
      </c>
      <c r="D9">
        <f>B9-C9</f>
      </c>
      <c r="E9">
        <f>IF(D9&gt;=0,"Under","Over")</f>
      </c>
    </row>
    <row r="10">
      <c r="A10" t="str">
        <v>Transportation</v>
      </c>
      <c r="B10">
        <f>Expenses!C24</f>
      </c>
      <c r="C10">
        <f>Expenses!D24</f>
      </c>
      <c r="D10">
        <f>B10-C10</f>
      </c>
      <c r="E10">
        <f>IF(D10&gt;=0,"Under","Over")</f>
      </c>
    </row>
    <row r="11">
      <c r="A11" t="str">
        <v>Food &amp; Groceries</v>
      </c>
      <c r="B11">
        <f>Expenses!C31</f>
      </c>
      <c r="C11">
        <f>Expenses!D31</f>
      </c>
      <c r="D11">
        <f>B11-C11</f>
      </c>
      <c r="E11">
        <f>IF(D11&gt;=0,"Under","Over")</f>
      </c>
    </row>
    <row r="12">
      <c r="A12" t="str">
        <v>Healthcare</v>
      </c>
      <c r="B12">
        <f>Expenses!C38</f>
      </c>
      <c r="C12">
        <f>Expenses!D38</f>
      </c>
      <c r="D12">
        <f>B12-C12</f>
      </c>
      <c r="E12">
        <f>IF(D12&gt;=0,"Under","Over")</f>
      </c>
    </row>
    <row r="13">
      <c r="A13" t="str">
        <v>Personal &amp; Lifestyle</v>
      </c>
      <c r="B13">
        <f>Expenses!C47</f>
      </c>
      <c r="C13">
        <f>Expenses!D47</f>
      </c>
      <c r="D13">
        <f>B13-C13</f>
      </c>
      <c r="E13">
        <f>IF(D13&gt;=0,"Under","Over")</f>
      </c>
    </row>
    <row r="14">
      <c r="A14" t="str">
        <v>Savings &amp; Investments</v>
      </c>
      <c r="B14">
        <f>Expenses!C56</f>
      </c>
      <c r="C14">
        <f>Expenses!D56</f>
      </c>
      <c r="D14">
        <f>B14-C14</f>
      </c>
      <c r="E14">
        <f>IF(D14&gt;=0,"Under","Over")</f>
      </c>
    </row>
    <row r="15">
      <c r="A15" t="str">
        <v>EMIs &amp; Loans</v>
      </c>
      <c r="B15">
        <f>Expenses!C63</f>
      </c>
      <c r="C15">
        <f>Expenses!D63</f>
      </c>
      <c r="D15">
        <f>B15-C15</f>
      </c>
      <c r="E15">
        <f>IF(D15&gt;=0,"Under","Over")</f>
      </c>
    </row>
    <row r="16">
      <c r="A16" t="str">
        <v>Other</v>
      </c>
      <c r="B16">
        <f>Expenses!C70</f>
      </c>
      <c r="C16">
        <f>Expenses!D70</f>
      </c>
      <c r="D16">
        <f>B16-C16</f>
      </c>
      <c r="E16">
        <f>IF(D16&gt;=0,"Under","Over")</f>
      </c>
    </row>
    <row r="17">
      <c r="A17" t="str">
        <v/>
      </c>
    </row>
    <row r="18">
      <c r="A18" t="str">
        <v>TOTAL EXPENSES</v>
      </c>
      <c r="B18">
        <f>SUM(B9:B16)</f>
      </c>
      <c r="C18">
        <f>SUM(C9:C16)</f>
      </c>
      <c r="D18">
        <f>B18-C18</f>
      </c>
    </row>
    <row r="19">
      <c r="A19" t="str">
        <v/>
      </c>
    </row>
    <row r="20">
      <c r="A20" t="str">
        <v>KEY METRICS</v>
      </c>
    </row>
    <row r="21">
      <c r="A21" t="str">
        <v>Net Savings (Income - Expenses)</v>
      </c>
      <c r="B21">
        <f>B5-C18</f>
      </c>
    </row>
    <row r="22">
      <c r="A22" t="str">
        <v>Savings Rate (%)</v>
      </c>
      <c r="B22">
        <f>IF(B5&gt;0,ROUND(B21/B5*100,1),0)</f>
      </c>
    </row>
    <row r="23">
      <c r="A23" t="str">
        <v>Budget Utilization (%)</v>
      </c>
      <c r="B23">
        <f>IF(B18&gt;0,ROUND(C18/B18*100,1),0)</f>
      </c>
    </row>
    <row r="24">
      <c r="A24" t="str">
        <v/>
      </c>
    </row>
    <row r="25">
      <c r="A25" t="str">
        <v>50/30/20 RULE ANALYSIS</v>
      </c>
    </row>
    <row r="26">
      <c r="A26" t="str">
        <v>Category</v>
      </c>
      <c r="B26" t="str">
        <v>Target %</v>
      </c>
      <c r="C26" t="str">
        <v>Your %</v>
      </c>
      <c r="D26" t="str">
        <v>Amount</v>
      </c>
      <c r="E26" t="str">
        <v>Status</v>
      </c>
    </row>
    <row r="27">
      <c r="A27" t="str">
        <v>Needs (Housing, Food, Transport, Health, EMIs)</v>
      </c>
      <c r="B27">
        <v>50</v>
      </c>
      <c r="C27">
        <f>ROUND((C9+C10+C11+C12+C15)/B5*100,1)</f>
      </c>
      <c r="D27">
        <f>C9+C10+C11+C12+C15</f>
      </c>
      <c r="E27">
        <f>IF(C27&lt;=B27,"Good","Review")</f>
      </c>
    </row>
    <row r="28">
      <c r="A28" t="str">
        <v>Wants (Lifestyle, Personal)</v>
      </c>
      <c r="B28">
        <v>30</v>
      </c>
      <c r="C28">
        <f>ROUND((C13+C16)/B5*100,1)</f>
      </c>
      <c r="D28">
        <f>C13+C16</f>
      </c>
      <c r="E28">
        <f>IF(C28&lt;=B28,"Good","Review")</f>
      </c>
    </row>
    <row r="29">
      <c r="A29" t="str">
        <v>Savings &amp; Investments</v>
      </c>
      <c r="B29">
        <v>20</v>
      </c>
      <c r="C29">
        <f>ROUND(C14/B5*100,1)</f>
      </c>
      <c r="D29">
        <f>C14</f>
      </c>
      <c r="E29">
        <f>IF(C29&gt;=B29,"Great!","Increase")</f>
      </c>
    </row>
    <row r="30">
      <c r="A30" t="str">
        <v/>
      </c>
    </row>
    <row r="31">
      <c r="A31" t="str">
        <v>FINANCIAL HEALTH SCORE</v>
      </c>
    </row>
    <row r="32">
      <c r="A32" t="str">
        <v>Score (out of 100)</v>
      </c>
      <c r="B32">
        <f>MIN(100,ROUND((IF(B22&gt;=20,30,B22*1.5)+IF(C27&lt;=50,25,(100-C27)*0.5)+IF(C28&lt;=30,25,(60-C28)*0.83)+IF(B23&lt;=100,20,0)),0))</f>
      </c>
    </row>
    <row r="33">
      <c r="A33" t="str">
        <v>Rating</v>
      </c>
      <c r="B33">
        <f>IF(B32&gt;=80,"Excellent",IF(B32&gt;=60,"Good",IF(B32&gt;=40,"Fair","Needs Work")))</f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INCOME TRACKER</v>
      </c>
    </row>
    <row r="2">
      <c r="A2" t="str">
        <v/>
      </c>
    </row>
    <row r="3">
      <c r="A3" t="str">
        <v>Track all your income sources below. The dashboard will automatically update.</v>
      </c>
    </row>
    <row r="4">
      <c r="A4" t="str">
        <v/>
      </c>
    </row>
    <row r="5">
      <c r="A5" t="str">
        <v>REGULAR INCOME</v>
      </c>
    </row>
    <row r="6">
      <c r="A6" t="str">
        <v>Source</v>
      </c>
      <c r="B6" t="str">
        <v>Gross Amount</v>
      </c>
      <c r="C6" t="str">
        <v>Deductions</v>
      </c>
      <c r="D6" t="str">
        <v>Net Amount</v>
      </c>
      <c r="E6" t="str">
        <v>Frequency</v>
      </c>
    </row>
    <row r="7">
      <c r="A7" t="str">
        <v>Primary Salary</v>
      </c>
      <c r="B7">
        <v>75000</v>
      </c>
      <c r="C7">
        <v>15000</v>
      </c>
      <c r="D7">
        <f>B7-C7</f>
      </c>
      <c r="E7" t="str">
        <v>Monthly</v>
      </c>
    </row>
    <row r="8">
      <c r="A8" t="str">
        <v>Spouse Salary</v>
      </c>
      <c r="B8">
        <v>0</v>
      </c>
      <c r="C8">
        <v>0</v>
      </c>
      <c r="D8">
        <f>B8-C8</f>
      </c>
      <c r="E8" t="str">
        <v>Monthly</v>
      </c>
    </row>
    <row r="9">
      <c r="A9" t="str">
        <v/>
      </c>
    </row>
    <row r="10">
      <c r="A10" t="str">
        <v>ADDITIONAL INCOME</v>
      </c>
    </row>
    <row r="11">
      <c r="A11" t="str">
        <v>Source</v>
      </c>
      <c r="B11" t="str">
        <v>Amount</v>
      </c>
      <c r="C11" t="str">
        <v/>
      </c>
      <c r="D11" t="str">
        <v>Net Amount</v>
      </c>
      <c r="E11" t="str">
        <v>Notes</v>
      </c>
    </row>
    <row r="12">
      <c r="A12" t="str">
        <v>Freelance/Consulting</v>
      </c>
      <c r="B12">
        <v>5000</v>
      </c>
      <c r="C12" t="str">
        <v/>
      </c>
      <c r="D12">
        <f>B12</f>
      </c>
      <c r="E12" t="str">
        <v/>
      </c>
    </row>
    <row r="13">
      <c r="A13" t="str">
        <v>Rental Income</v>
      </c>
      <c r="B13">
        <v>0</v>
      </c>
      <c r="C13" t="str">
        <v/>
      </c>
      <c r="D13">
        <f>B13</f>
      </c>
      <c r="E13" t="str">
        <v/>
      </c>
    </row>
    <row r="14">
      <c r="A14" t="str">
        <v>Interest/Dividends</v>
      </c>
      <c r="B14">
        <v>500</v>
      </c>
      <c r="C14" t="str">
        <v/>
      </c>
      <c r="D14">
        <f>B14</f>
      </c>
      <c r="E14" t="str">
        <v/>
      </c>
    </row>
    <row r="15">
      <c r="A15" t="str">
        <v>Other Income</v>
      </c>
      <c r="B15">
        <v>0</v>
      </c>
      <c r="C15" t="str">
        <v/>
      </c>
      <c r="D15">
        <f>B15</f>
      </c>
      <c r="E15" t="str">
        <v/>
      </c>
    </row>
    <row r="16">
      <c r="A16" t="str">
        <v/>
      </c>
    </row>
    <row r="17">
      <c r="A17" t="str">
        <v>TOTAL MONTHLY INCOME</v>
      </c>
      <c r="B17" t="str">
        <v/>
      </c>
      <c r="C17" t="str">
        <v/>
      </c>
      <c r="D17">
        <f>SUM(D7:D8,D12:D15)</f>
      </c>
    </row>
    <row r="18">
      <c r="A18" t="str">
        <v/>
      </c>
    </row>
    <row r="19">
      <c r="A19" t="str">
        <v>ANNUAL PROJECTION</v>
      </c>
    </row>
    <row r="20">
      <c r="A20" t="str">
        <v>Estimated Annual Income</v>
      </c>
      <c r="B20">
        <f>E17*12</f>
      </c>
    </row>
    <row r="21">
      <c r="A21" t="str">
        <v/>
      </c>
    </row>
    <row r="22">
      <c r="A22" t="str">
        <v>INCOME GROWTH TRACKING</v>
      </c>
    </row>
    <row r="23">
      <c r="A23" t="str">
        <v>Month</v>
      </c>
      <c r="B23" t="str">
        <v>Income</v>
      </c>
      <c r="C23" t="str">
        <v>Change</v>
      </c>
      <c r="D23" t="str">
        <v>% Change</v>
      </c>
    </row>
    <row r="24">
      <c r="A24" t="str">
        <v>January</v>
      </c>
      <c r="B24">
        <f>E17</f>
      </c>
      <c r="C24" t="str">
        <v>-</v>
      </c>
      <c r="D24" t="str">
        <v>-</v>
      </c>
    </row>
    <row r="25">
      <c r="A25" t="str">
        <v>February</v>
      </c>
      <c r="B25" t="str">
        <v/>
      </c>
      <c r="C25">
        <f>IF(B24&gt;0,B24-B23,"")</f>
      </c>
      <c r="D25">
        <f>IF(AND(B23&gt;0,B24&gt;0),ROUND(C24/B23*100,1),"")</f>
      </c>
    </row>
    <row r="26">
      <c r="A26" t="str">
        <v>March</v>
      </c>
      <c r="B26" t="str">
        <v/>
      </c>
      <c r="C26">
        <f>IF(B25&gt;0,B25-B24,"")</f>
      </c>
      <c r="D26">
        <f>IF(AND(B24&gt;0,B25&gt;0),ROUND(C25/B24*100,1),"")</f>
      </c>
    </row>
    <row r="27">
      <c r="A27" t="str">
        <v>April</v>
      </c>
      <c r="B27" t="str">
        <v/>
      </c>
      <c r="C27">
        <f>IF(B26&gt;0,B26-B25,"")</f>
      </c>
      <c r="D27">
        <f>IF(AND(B25&gt;0,B26&gt;0),ROUND(C26/B25*100,1),"")</f>
      </c>
    </row>
    <row r="28">
      <c r="A28" t="str">
        <v>May</v>
      </c>
      <c r="B28" t="str">
        <v/>
      </c>
      <c r="C28">
        <f>IF(B27&gt;0,B27-B26,"")</f>
      </c>
      <c r="D28">
        <f>IF(AND(B26&gt;0,B27&gt;0),ROUND(C27/B26*100,1),"")</f>
      </c>
    </row>
    <row r="29">
      <c r="A29" t="str">
        <v>June</v>
      </c>
      <c r="B29" t="str">
        <v/>
      </c>
      <c r="C29">
        <f>IF(B28&gt;0,B28-B27,"")</f>
      </c>
      <c r="D29">
        <f>IF(AND(B27&gt;0,B28&gt;0),ROUND(C28/B27*100,1),"")</f>
      </c>
    </row>
  </sheetData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2.83203125" customWidth="1"/>
    <col min="5" max="5" width="25.83203125" customWidth="1"/>
  </cols>
  <sheetData>
    <row r="1">
      <c r="A1" t="str">
        <v>EXPENSE TRACKER</v>
      </c>
    </row>
    <row r="2">
      <c r="A2" t="str">
        <v/>
      </c>
    </row>
    <row r="3">
      <c r="A3" t="str">
        <v>Instructions: Enter your budgeted amount and actual spending. Status updates automatically.</v>
      </c>
    </row>
    <row r="4">
      <c r="A4" t="str">
        <v/>
      </c>
    </row>
    <row r="5">
      <c r="A5" t="str">
        <v>TIP: Start with last 3 months bank statements to estimate realistic budgets.</v>
      </c>
    </row>
    <row r="6">
      <c r="A6" t="str">
        <v/>
      </c>
    </row>
    <row r="7">
      <c r="A7" t="str">
        <v>HOUSING &amp; UTILITIES</v>
      </c>
    </row>
    <row r="8">
      <c r="A8" t="str">
        <v>Item</v>
      </c>
      <c r="B8" t="str">
        <v>Budgeted</v>
      </c>
      <c r="C8" t="str">
        <v>Actual</v>
      </c>
      <c r="D8" t="str">
        <v>Variance</v>
      </c>
      <c r="E8" t="str">
        <v>Notes</v>
      </c>
    </row>
    <row r="9">
      <c r="A9" t="str">
        <v>Rent / Home Loan EMI</v>
      </c>
      <c r="B9">
        <v>20000</v>
      </c>
      <c r="C9" t="str">
        <v/>
      </c>
      <c r="D9">
        <f>B9-C9</f>
      </c>
      <c r="E9" t="str">
        <v/>
      </c>
    </row>
    <row r="10">
      <c r="A10" t="str">
        <v>Society Maintenance</v>
      </c>
      <c r="B10">
        <v>3000</v>
      </c>
      <c r="C10" t="str">
        <v/>
      </c>
      <c r="D10">
        <f>B10-C10</f>
      </c>
      <c r="E10" t="str">
        <v/>
      </c>
    </row>
    <row r="11">
      <c r="A11" t="str">
        <v>Electricity Bill</v>
      </c>
      <c r="B11">
        <v>2500</v>
      </c>
      <c r="C11" t="str">
        <v/>
      </c>
      <c r="D11">
        <f>B11-C11</f>
      </c>
      <c r="E11" t="str">
        <v/>
      </c>
    </row>
    <row r="12">
      <c r="A12" t="str">
        <v>Water Bill</v>
      </c>
      <c r="B12">
        <v>500</v>
      </c>
      <c r="C12" t="str">
        <v/>
      </c>
      <c r="D12">
        <f>B12-C12</f>
      </c>
      <c r="E12" t="str">
        <v/>
      </c>
    </row>
    <row r="13">
      <c r="A13" t="str">
        <v>Gas (Piped/Cylinder)</v>
      </c>
      <c r="B13">
        <v>800</v>
      </c>
      <c r="C13" t="str">
        <v/>
      </c>
      <c r="D13">
        <f>B13-C13</f>
      </c>
      <c r="E13" t="str">
        <v/>
      </c>
    </row>
    <row r="14">
      <c r="A14" t="str">
        <v>Internet &amp; Cable</v>
      </c>
      <c r="B14">
        <v>1500</v>
      </c>
      <c r="C14" t="str">
        <v/>
      </c>
      <c r="D14">
        <f>B14-C14</f>
      </c>
      <c r="E14" t="str">
        <v/>
      </c>
    </row>
    <row r="15">
      <c r="A15" t="str">
        <v>Mobile Recharge</v>
      </c>
      <c r="B15">
        <v>500</v>
      </c>
      <c r="C15" t="str">
        <v/>
      </c>
      <c r="D15">
        <f>B15-C15</f>
      </c>
      <c r="E15" t="str">
        <v/>
      </c>
    </row>
    <row r="16">
      <c r="A16" t="str">
        <v>Home Insurance</v>
      </c>
      <c r="B16">
        <v>500</v>
      </c>
      <c r="C16" t="str">
        <v/>
      </c>
      <c r="D16">
        <f>B16-C16</f>
      </c>
      <c r="E16" t="str">
        <v/>
      </c>
    </row>
    <row r="17">
      <c r="A17" t="str">
        <v>Subtotal - Housing</v>
      </c>
      <c r="B17">
        <f>SUM(B9:B16)</f>
      </c>
      <c r="C17">
        <f>SUM(C9:C16)</f>
      </c>
      <c r="D17">
        <f>B17-C17</f>
      </c>
    </row>
    <row r="18">
      <c r="A18" t="str">
        <v/>
      </c>
    </row>
    <row r="19">
      <c r="A19" t="str">
        <v>TRANSPORTATION</v>
      </c>
    </row>
    <row r="20">
      <c r="A20" t="str">
        <v>Item</v>
      </c>
      <c r="B20" t="str">
        <v>Budgeted</v>
      </c>
      <c r="C20" t="str">
        <v>Actual</v>
      </c>
      <c r="D20" t="str">
        <v>Variance</v>
      </c>
      <c r="E20" t="str">
        <v>Notes</v>
      </c>
    </row>
    <row r="21">
      <c r="A21" t="str">
        <v>Fuel/Petrol</v>
      </c>
      <c r="B21">
        <v>4000</v>
      </c>
      <c r="C21" t="str">
        <v/>
      </c>
      <c r="D21">
        <f>B21-C21</f>
      </c>
      <c r="E21" t="str">
        <v/>
      </c>
    </row>
    <row r="22">
      <c r="A22" t="str">
        <v>Public Transport/Metro</v>
      </c>
      <c r="B22">
        <v>1000</v>
      </c>
      <c r="C22" t="str">
        <v/>
      </c>
      <c r="D22">
        <f>B22-C22</f>
      </c>
      <c r="E22" t="str">
        <v/>
      </c>
    </row>
    <row r="23">
      <c r="A23" t="str">
        <v>Cab/Auto (Ola/Uber)</v>
      </c>
      <c r="B23">
        <v>1500</v>
      </c>
      <c r="C23" t="str">
        <v/>
      </c>
      <c r="D23">
        <f>B23-C23</f>
      </c>
      <c r="E23" t="str">
        <v/>
      </c>
    </row>
    <row r="24">
      <c r="A24" t="str">
        <v>Subtotal - Transport</v>
      </c>
      <c r="B24">
        <f>SUM(B21:B23)</f>
      </c>
      <c r="C24">
        <f>SUM(C21:C23)</f>
      </c>
      <c r="D24">
        <f>B24-C24</f>
      </c>
    </row>
    <row r="25">
      <c r="A25" t="str">
        <v/>
      </c>
    </row>
    <row r="26">
      <c r="A26" t="str">
        <v>FOOD &amp; GROCERIES</v>
      </c>
    </row>
    <row r="27">
      <c r="A27" t="str">
        <v>Item</v>
      </c>
      <c r="B27" t="str">
        <v>Budgeted</v>
      </c>
      <c r="C27" t="str">
        <v>Actual</v>
      </c>
      <c r="D27" t="str">
        <v>Variance</v>
      </c>
      <c r="E27" t="str">
        <v>Notes</v>
      </c>
    </row>
    <row r="28">
      <c r="A28" t="str">
        <v>Groceries (Kirana/BigBasket)</v>
      </c>
      <c r="B28">
        <v>8000</v>
      </c>
      <c r="C28" t="str">
        <v/>
      </c>
      <c r="D28">
        <f>B28-C28</f>
      </c>
      <c r="E28" t="str">
        <v/>
      </c>
    </row>
    <row r="29">
      <c r="A29" t="str">
        <v>Milk &amp; Dairy</v>
      </c>
      <c r="B29">
        <v>1500</v>
      </c>
      <c r="C29" t="str">
        <v/>
      </c>
      <c r="D29">
        <f>B29-C29</f>
      </c>
      <c r="E29" t="str">
        <v/>
      </c>
    </row>
    <row r="30">
      <c r="A30" t="str">
        <v>Dining Out/Restaurants</v>
      </c>
      <c r="B30">
        <v>3000</v>
      </c>
      <c r="C30" t="str">
        <v/>
      </c>
      <c r="D30">
        <f>B30-C30</f>
      </c>
      <c r="E30" t="str">
        <v/>
      </c>
    </row>
    <row r="31">
      <c r="A31" t="str">
        <v>Subtotal - Food</v>
      </c>
      <c r="B31">
        <f>SUM(B28:B30)</f>
      </c>
      <c r="C31">
        <f>SUM(C28:C30)</f>
      </c>
      <c r="D31">
        <f>B31-C31</f>
      </c>
    </row>
    <row r="32">
      <c r="A32" t="str">
        <v/>
      </c>
    </row>
    <row r="33">
      <c r="A33" t="str">
        <v>HEALTHCARE</v>
      </c>
    </row>
    <row r="34">
      <c r="A34" t="str">
        <v>Item</v>
      </c>
      <c r="B34" t="str">
        <v>Budgeted</v>
      </c>
      <c r="C34" t="str">
        <v>Actual</v>
      </c>
      <c r="D34" t="str">
        <v>Variance</v>
      </c>
      <c r="E34" t="str">
        <v>Notes</v>
      </c>
    </row>
    <row r="35">
      <c r="A35" t="str">
        <v>Health Insurance Premium</v>
      </c>
      <c r="B35">
        <v>2000</v>
      </c>
      <c r="C35" t="str">
        <v/>
      </c>
      <c r="D35">
        <f>B35-C35</f>
      </c>
      <c r="E35" t="str">
        <v/>
      </c>
    </row>
    <row r="36">
      <c r="A36" t="str">
        <v>Medicines/Pharmacy</v>
      </c>
      <c r="B36">
        <v>1000</v>
      </c>
      <c r="C36" t="str">
        <v/>
      </c>
      <c r="D36">
        <f>B36-C36</f>
      </c>
      <c r="E36" t="str">
        <v/>
      </c>
    </row>
    <row r="37">
      <c r="A37" t="str">
        <v>Doctor Visits</v>
      </c>
      <c r="B37">
        <v>500</v>
      </c>
      <c r="C37" t="str">
        <v/>
      </c>
      <c r="D37">
        <f>B37-C37</f>
      </c>
      <c r="E37" t="str">
        <v/>
      </c>
    </row>
    <row r="38">
      <c r="A38" t="str">
        <v>Subtotal - Healthcare</v>
      </c>
      <c r="B38">
        <f>SUM(B35:B37)</f>
      </c>
      <c r="C38">
        <f>SUM(C35:C37)</f>
      </c>
      <c r="D38">
        <f>B38-C38</f>
      </c>
    </row>
    <row r="39">
      <c r="A39" t="str">
        <v/>
      </c>
    </row>
    <row r="40">
      <c r="A40" t="str">
        <v>PERSONAL &amp; LIFESTYLE</v>
      </c>
    </row>
    <row r="41">
      <c r="A41" t="str">
        <v>Item</v>
      </c>
      <c r="B41" t="str">
        <v>Budgeted</v>
      </c>
      <c r="C41" t="str">
        <v>Actual</v>
      </c>
      <c r="D41" t="str">
        <v>Variance</v>
      </c>
      <c r="E41" t="str">
        <v>Notes</v>
      </c>
    </row>
    <row r="42">
      <c r="A42" t="str">
        <v>Clothing &amp; Accessories</v>
      </c>
      <c r="B42">
        <v>2000</v>
      </c>
      <c r="C42" t="str">
        <v/>
      </c>
      <c r="D42">
        <f>B42-C42</f>
      </c>
      <c r="E42" t="str">
        <v/>
      </c>
    </row>
    <row r="43">
      <c r="A43" t="str">
        <v>Personal Care/Grooming</v>
      </c>
      <c r="B43">
        <v>1000</v>
      </c>
      <c r="C43" t="str">
        <v/>
      </c>
      <c r="D43">
        <f>B43-C43</f>
      </c>
      <c r="E43" t="str">
        <v/>
      </c>
    </row>
    <row r="44">
      <c r="A44" t="str">
        <v>Entertainment (Movies, OTT)</v>
      </c>
      <c r="B44">
        <v>1000</v>
      </c>
      <c r="C44" t="str">
        <v/>
      </c>
      <c r="D44">
        <f>B44-C44</f>
      </c>
      <c r="E44" t="str">
        <v/>
      </c>
    </row>
    <row r="45">
      <c r="A45" t="str">
        <v>Gym/Sports/Fitness</v>
      </c>
      <c r="B45">
        <v>1500</v>
      </c>
      <c r="C45" t="str">
        <v/>
      </c>
      <c r="D45">
        <f>B45-C45</f>
      </c>
      <c r="E45" t="str">
        <v/>
      </c>
    </row>
    <row r="46">
      <c r="A46" t="str">
        <v>Hobbies &amp; Learning</v>
      </c>
      <c r="B46">
        <v>500</v>
      </c>
      <c r="C46" t="str">
        <v/>
      </c>
      <c r="D46">
        <f>B46-C46</f>
      </c>
      <c r="E46" t="str">
        <v/>
      </c>
    </row>
    <row r="47">
      <c r="A47" t="str">
        <v>Subtotal - Lifestyle</v>
      </c>
      <c r="B47">
        <f>SUM(B42:B46)</f>
      </c>
      <c r="C47">
        <f>SUM(C42:C46)</f>
      </c>
      <c r="D47">
        <f>B47-C47</f>
      </c>
    </row>
    <row r="48">
      <c r="A48" t="str">
        <v/>
      </c>
    </row>
    <row r="49">
      <c r="A49" t="str">
        <v>SAVINGS &amp; INVESTMENTS</v>
      </c>
    </row>
    <row r="50">
      <c r="A50" t="str">
        <v>Item</v>
      </c>
      <c r="B50" t="str">
        <v>Budgeted</v>
      </c>
      <c r="C50" t="str">
        <v>Actual</v>
      </c>
      <c r="D50" t="str">
        <v>Variance</v>
      </c>
      <c r="E50" t="str">
        <v>Notes</v>
      </c>
    </row>
    <row r="51">
      <c r="A51" t="str">
        <v>Emergency Fund</v>
      </c>
      <c r="B51">
        <v>3000</v>
      </c>
      <c r="C51" t="str">
        <v/>
      </c>
      <c r="D51">
        <f>B51-C51</f>
      </c>
      <c r="E51" t="str">
        <v/>
      </c>
    </row>
    <row r="52">
      <c r="A52" t="str">
        <v>SIP - Mutual Funds</v>
      </c>
      <c r="B52">
        <v>5000</v>
      </c>
      <c r="C52" t="str">
        <v/>
      </c>
      <c r="D52">
        <f>B52-C52</f>
      </c>
      <c r="E52" t="str">
        <v/>
      </c>
    </row>
    <row r="53">
      <c r="A53" t="str">
        <v>PPF/NPS</v>
      </c>
      <c r="B53">
        <v>2000</v>
      </c>
      <c r="C53" t="str">
        <v/>
      </c>
      <c r="D53">
        <f>B53-C53</f>
      </c>
      <c r="E53" t="str">
        <v/>
      </c>
    </row>
    <row r="54">
      <c r="A54" t="str">
        <v>Stocks/Direct Equity</v>
      </c>
      <c r="B54">
        <v>2000</v>
      </c>
      <c r="C54" t="str">
        <v/>
      </c>
      <c r="D54">
        <f>B54-C54</f>
      </c>
      <c r="E54" t="str">
        <v/>
      </c>
    </row>
    <row r="55">
      <c r="A55" t="str">
        <v>Other Savings</v>
      </c>
      <c r="B55">
        <v>1000</v>
      </c>
      <c r="C55" t="str">
        <v/>
      </c>
      <c r="D55">
        <f>B55-C55</f>
      </c>
      <c r="E55" t="str">
        <v/>
      </c>
    </row>
    <row r="56">
      <c r="A56" t="str">
        <v>Subtotal - Savings</v>
      </c>
      <c r="B56">
        <f>SUM(B51:B55)</f>
      </c>
      <c r="C56">
        <f>SUM(C51:C55)</f>
      </c>
      <c r="D56">
        <f>B56-C56</f>
      </c>
    </row>
    <row r="57">
      <c r="A57" t="str">
        <v/>
      </c>
    </row>
    <row r="58">
      <c r="A58" t="str">
        <v>EMIs &amp; LOANS</v>
      </c>
    </row>
    <row r="59">
      <c r="A59" t="str">
        <v>Item</v>
      </c>
      <c r="B59" t="str">
        <v>Budgeted</v>
      </c>
      <c r="C59" t="str">
        <v>Actual</v>
      </c>
      <c r="D59" t="str">
        <v>Variance</v>
      </c>
      <c r="E59" t="str">
        <v>Notes</v>
      </c>
    </row>
    <row r="60">
      <c r="A60" t="str">
        <v>Car Loan EMI</v>
      </c>
      <c r="B60">
        <v>0</v>
      </c>
      <c r="C60" t="str">
        <v/>
      </c>
      <c r="D60">
        <f>B60-C60</f>
      </c>
      <c r="E60" t="str">
        <v/>
      </c>
    </row>
    <row r="61">
      <c r="A61" t="str">
        <v>Personal Loan EMI</v>
      </c>
      <c r="B61">
        <v>0</v>
      </c>
      <c r="C61" t="str">
        <v/>
      </c>
      <c r="D61">
        <f>B61-C61</f>
      </c>
      <c r="E61" t="str">
        <v/>
      </c>
    </row>
    <row r="62">
      <c r="A62" t="str">
        <v>Credit Card Payment</v>
      </c>
      <c r="B62">
        <v>0</v>
      </c>
      <c r="C62" t="str">
        <v/>
      </c>
      <c r="D62">
        <f>B62-C62</f>
      </c>
      <c r="E62" t="str">
        <v/>
      </c>
    </row>
    <row r="63">
      <c r="A63" t="str">
        <v>Subtotal - EMIs</v>
      </c>
      <c r="B63">
        <f>SUM(B60:B62)</f>
      </c>
      <c r="C63">
        <f>SUM(C60:C62)</f>
      </c>
      <c r="D63">
        <f>B63-C63</f>
      </c>
    </row>
    <row r="64">
      <c r="A64" t="str">
        <v/>
      </c>
    </row>
    <row r="65">
      <c r="A65" t="str">
        <v>OTHER EXPENSES</v>
      </c>
    </row>
    <row r="66">
      <c r="A66" t="str">
        <v>Item</v>
      </c>
      <c r="B66" t="str">
        <v>Budgeted</v>
      </c>
      <c r="C66" t="str">
        <v>Actual</v>
      </c>
      <c r="D66" t="str">
        <v>Variance</v>
      </c>
      <c r="E66" t="str">
        <v>Notes</v>
      </c>
    </row>
    <row r="67">
      <c r="A67" t="str">
        <v>Children Education</v>
      </c>
      <c r="B67">
        <v>0</v>
      </c>
      <c r="C67" t="str">
        <v/>
      </c>
      <c r="D67">
        <f>B67-C67</f>
      </c>
      <c r="E67" t="str">
        <v/>
      </c>
    </row>
    <row r="68">
      <c r="A68" t="str">
        <v>Gifts &amp; Donations</v>
      </c>
      <c r="B68">
        <v>500</v>
      </c>
      <c r="C68" t="str">
        <v/>
      </c>
      <c r="D68">
        <f>B68-C68</f>
      </c>
      <c r="E68" t="str">
        <v/>
      </c>
    </row>
    <row r="69">
      <c r="A69" t="str">
        <v>Miscellaneous</v>
      </c>
      <c r="B69">
        <v>1000</v>
      </c>
      <c r="C69" t="str">
        <v/>
      </c>
      <c r="D69">
        <f>B69-C69</f>
      </c>
      <c r="E69" t="str">
        <v/>
      </c>
    </row>
    <row r="70">
      <c r="A70" t="str">
        <v>Subtotal - Other</v>
      </c>
      <c r="B70">
        <f>SUM(B67:B69)</f>
      </c>
      <c r="C70">
        <f>SUM(C67:C69)</f>
      </c>
      <c r="D70">
        <f>B70-C70</f>
      </c>
    </row>
    <row r="71">
      <c r="A71" t="str">
        <v/>
      </c>
    </row>
    <row r="72">
      <c r="A72" t="str">
        <v>GRAND TOTAL</v>
      </c>
      <c r="B72">
        <f>B17+B24+B31+B38+B47+B56+B63+B70</f>
      </c>
      <c r="C72">
        <f>C17+C24+C31+C38+C47+C56+C63+C70</f>
      </c>
      <c r="D72">
        <f>B72-C72</f>
      </c>
    </row>
  </sheetData>
  <ignoredErrors>
    <ignoredError numberStoredAsText="1" sqref="A1:E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8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30.83203125" customWidth="1"/>
  </cols>
  <sheetData>
    <row r="1">
      <c r="A1" t="str">
        <v>MONTHLY HISTORY TRACKER</v>
      </c>
    </row>
    <row r="2">
      <c r="A2" t="str">
        <v/>
      </c>
    </row>
    <row r="3">
      <c r="A3" t="str">
        <v>Track your finances over time to identify trends and patterns.</v>
      </c>
    </row>
    <row r="4">
      <c r="A4" t="str">
        <v/>
      </c>
    </row>
    <row r="5">
      <c r="A5" t="str">
        <v>Month</v>
      </c>
      <c r="B5" t="str">
        <v>Total Income</v>
      </c>
      <c r="C5" t="str">
        <v>Total Expenses</v>
      </c>
      <c r="D5" t="str">
        <v>Net Savings</v>
      </c>
      <c r="E5" t="str">
        <v>Savings Rate %</v>
      </c>
      <c r="F5" t="str">
        <v>Notes</v>
      </c>
    </row>
    <row r="6">
      <c r="A6" t="str">
        <v>January 2025</v>
      </c>
      <c r="B6">
        <f>Income!E17</f>
      </c>
      <c r="C6">
        <f>Expenses!C72</f>
      </c>
      <c r="D6">
        <f>B6-C6</f>
      </c>
      <c r="E6">
        <f>IF(B6&gt;0,ROUND(D6/B6*100,1),0)</f>
      </c>
      <c r="F6" t="str">
        <v/>
      </c>
    </row>
    <row r="7">
      <c r="A7" t="str">
        <v>February 2025</v>
      </c>
      <c r="B7" t="str">
        <v/>
      </c>
      <c r="C7" t="str">
        <v/>
      </c>
      <c r="D7">
        <f>B7-C7</f>
      </c>
      <c r="E7">
        <f>IF(B7&gt;0,ROUND(D7/B7*100,1),0)</f>
      </c>
      <c r="F7" t="str">
        <v/>
      </c>
    </row>
    <row r="8">
      <c r="A8" t="str">
        <v>March 2025</v>
      </c>
      <c r="B8" t="str">
        <v/>
      </c>
      <c r="C8" t="str">
        <v/>
      </c>
      <c r="D8">
        <f>B8-C8</f>
      </c>
      <c r="E8">
        <f>IF(B8&gt;0,ROUND(D8/B8*100,1),0)</f>
      </c>
      <c r="F8" t="str">
        <v/>
      </c>
    </row>
    <row r="9">
      <c r="A9" t="str">
        <v>April 2025</v>
      </c>
      <c r="B9" t="str">
        <v/>
      </c>
      <c r="C9" t="str">
        <v/>
      </c>
      <c r="D9">
        <f>B9-C9</f>
      </c>
      <c r="E9">
        <f>IF(B9&gt;0,ROUND(D9/B9*100,1),0)</f>
      </c>
      <c r="F9" t="str">
        <v/>
      </c>
    </row>
    <row r="10">
      <c r="A10" t="str">
        <v>May 2025</v>
      </c>
      <c r="B10" t="str">
        <v/>
      </c>
      <c r="C10" t="str">
        <v/>
      </c>
      <c r="D10">
        <f>B10-C10</f>
      </c>
      <c r="E10">
        <f>IF(B10&gt;0,ROUND(D10/B10*100,1),0)</f>
      </c>
      <c r="F10" t="str">
        <v/>
      </c>
    </row>
    <row r="11">
      <c r="A11" t="str">
        <v>June 2025</v>
      </c>
      <c r="B11" t="str">
        <v/>
      </c>
      <c r="C11" t="str">
        <v/>
      </c>
      <c r="D11">
        <f>B11-C11</f>
      </c>
      <c r="E11">
        <f>IF(B11&gt;0,ROUND(D11/B11*100,1),0)</f>
      </c>
      <c r="F11" t="str">
        <v/>
      </c>
    </row>
    <row r="12">
      <c r="A12" t="str">
        <v>July 2025</v>
      </c>
      <c r="B12" t="str">
        <v/>
      </c>
      <c r="C12" t="str">
        <v/>
      </c>
      <c r="D12">
        <f>B12-C12</f>
      </c>
      <c r="E12">
        <f>IF(B12&gt;0,ROUND(D12/B12*100,1),0)</f>
      </c>
      <c r="F12" t="str">
        <v/>
      </c>
    </row>
    <row r="13">
      <c r="A13" t="str">
        <v>August 2025</v>
      </c>
      <c r="B13" t="str">
        <v/>
      </c>
      <c r="C13" t="str">
        <v/>
      </c>
      <c r="D13">
        <f>B13-C13</f>
      </c>
      <c r="E13">
        <f>IF(B13&gt;0,ROUND(D13/B13*100,1),0)</f>
      </c>
      <c r="F13" t="str">
        <v/>
      </c>
    </row>
    <row r="14">
      <c r="A14" t="str">
        <v>September 2025</v>
      </c>
      <c r="B14" t="str">
        <v/>
      </c>
      <c r="C14" t="str">
        <v/>
      </c>
      <c r="D14">
        <f>B14-C14</f>
      </c>
      <c r="E14">
        <f>IF(B14&gt;0,ROUND(D14/B14*100,1),0)</f>
      </c>
      <c r="F14" t="str">
        <v/>
      </c>
    </row>
    <row r="15">
      <c r="A15" t="str">
        <v>October 2025</v>
      </c>
      <c r="B15" t="str">
        <v/>
      </c>
      <c r="C15" t="str">
        <v/>
      </c>
      <c r="D15">
        <f>B15-C15</f>
      </c>
      <c r="E15">
        <f>IF(B15&gt;0,ROUND(D15/B15*100,1),0)</f>
      </c>
      <c r="F15" t="str">
        <v/>
      </c>
    </row>
    <row r="16">
      <c r="A16" t="str">
        <v>November 2025</v>
      </c>
      <c r="B16" t="str">
        <v/>
      </c>
      <c r="C16" t="str">
        <v/>
      </c>
      <c r="D16">
        <f>B16-C16</f>
      </c>
      <c r="E16">
        <f>IF(B16&gt;0,ROUND(D16/B16*100,1),0)</f>
      </c>
      <c r="F16" t="str">
        <v/>
      </c>
    </row>
    <row r="17">
      <c r="A17" t="str">
        <v>December 2025</v>
      </c>
      <c r="B17" t="str">
        <v/>
      </c>
      <c r="C17" t="str">
        <v/>
      </c>
      <c r="D17">
        <f>B17-C17</f>
      </c>
      <c r="E17">
        <f>IF(B17&gt;0,ROUND(D17/B17*100,1),0)</f>
      </c>
      <c r="F17" t="str">
        <v/>
      </c>
    </row>
    <row r="18">
      <c r="A18" t="str">
        <v/>
      </c>
    </row>
    <row r="19">
      <c r="A19" t="str">
        <v>YEARLY SUMMARY</v>
      </c>
    </row>
    <row r="20">
      <c r="A20" t="str">
        <v>Total Income</v>
      </c>
      <c r="B20">
        <f>SUM(B6:B17)</f>
      </c>
    </row>
    <row r="21">
      <c r="A21" t="str">
        <v>Total Expenses</v>
      </c>
      <c r="B21">
        <f>SUM(C6:C17)</f>
      </c>
    </row>
    <row r="22">
      <c r="A22" t="str">
        <v>Total Savings</v>
      </c>
      <c r="B22">
        <f>SUM(D6:D17)</f>
      </c>
    </row>
    <row r="23">
      <c r="A23" t="str">
        <v>Average Savings Rate</v>
      </c>
      <c r="B23">
        <f>IF(B20&gt;0,ROUND(D22/B20*100,1),0)</f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Income</vt:lpstr>
      <vt:lpstr>Expenses</vt:lpstr>
      <vt:lpstr>Monthly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