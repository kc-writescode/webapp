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or" sheetId="1" r:id="rId1"/>
    <sheet name="Progress Track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40.83203125" customWidth="1"/>
    <col min="2" max="2" width="20.83203125" customWidth="1"/>
    <col min="3" max="3" width="18.83203125" customWidth="1"/>
  </cols>
  <sheetData>
    <row r="1">
      <c r="A1" t="str">
        <v>EMERGENCY FUND PLANNER</v>
      </c>
    </row>
    <row r="2">
      <c r="A2" t="str">
        <v/>
      </c>
    </row>
    <row r="3">
      <c r="A3" t="str">
        <v>WHY EMERGENCY FUND MATTERS</v>
      </c>
    </row>
    <row r="4">
      <c r="A4" t="str">
        <v/>
      </c>
    </row>
    <row r="5">
      <c r="A5" t="str">
        <v>Protects you from: Job loss, Medical emergencies, Car/Home repairs</v>
      </c>
    </row>
    <row r="6">
      <c r="A6" t="str">
        <v/>
      </c>
    </row>
    <row r="7">
      <c r="A7" t="str">
        <v>STEP 1: CALCULATE MONTHLY ESSENTIAL EXPENSES</v>
      </c>
    </row>
    <row r="8">
      <c r="A8" t="str">
        <v/>
      </c>
    </row>
    <row r="9">
      <c r="A9" t="str">
        <v>Expense Category</v>
      </c>
      <c r="B9" t="str">
        <v>Monthly Amount</v>
      </c>
    </row>
    <row r="10">
      <c r="A10" t="str">
        <v>Rent / Home Loan EMI</v>
      </c>
      <c r="B10">
        <v>25000</v>
      </c>
    </row>
    <row r="11">
      <c r="A11" t="str">
        <v>Utilities (Electricity, Water, Gas)</v>
      </c>
      <c r="B11">
        <v>3500</v>
      </c>
    </row>
    <row r="12">
      <c r="A12" t="str">
        <v>Groceries &amp; Essential Food</v>
      </c>
      <c r="B12">
        <v>10000</v>
      </c>
    </row>
    <row r="13">
      <c r="A13" t="str">
        <v>Insurance Premiums</v>
      </c>
      <c r="B13">
        <v>3000</v>
      </c>
    </row>
    <row r="14">
      <c r="A14" t="str">
        <v>Children Education</v>
      </c>
      <c r="B14">
        <v>5000</v>
      </c>
    </row>
    <row r="15">
      <c r="A15" t="str">
        <v>Loan EMIs (Car, Personal)</v>
      </c>
      <c r="B15">
        <v>8000</v>
      </c>
    </row>
    <row r="16">
      <c r="A16" t="str">
        <v>Phone &amp; Internet</v>
      </c>
      <c r="B16">
        <v>1000</v>
      </c>
    </row>
    <row r="17">
      <c r="A17" t="str">
        <v>Essential Transport</v>
      </c>
      <c r="B17">
        <v>3000</v>
      </c>
    </row>
    <row r="18">
      <c r="A18" t="str">
        <v>Medicines &amp; Healthcare</v>
      </c>
      <c r="B18">
        <v>1500</v>
      </c>
    </row>
    <row r="19">
      <c r="A19" t="str">
        <v>Domestic Help</v>
      </c>
      <c r="B19">
        <v>2000</v>
      </c>
    </row>
    <row r="20">
      <c r="A20" t="str">
        <v>Other Essential Expenses</v>
      </c>
      <c r="B20">
        <v>2000</v>
      </c>
    </row>
    <row r="21">
      <c r="A21" t="str">
        <v/>
      </c>
    </row>
    <row r="22">
      <c r="A22" t="str">
        <v>TOTAL MONTHLY ESSENTIALS</v>
      </c>
      <c r="B22">
        <f>SUM(B10:B20)</f>
      </c>
    </row>
    <row r="23">
      <c r="A23" t="str">
        <v/>
      </c>
    </row>
    <row r="24">
      <c r="A24" t="str">
        <v>STEP 2: DETERMINE FUND SIZE</v>
      </c>
    </row>
    <row r="25">
      <c r="A25" t="str">
        <v/>
      </c>
    </row>
    <row r="26">
      <c r="A26" t="str">
        <v>Your Situation</v>
      </c>
      <c r="B26" t="str">
        <v>Months Needed</v>
      </c>
      <c r="C26" t="str">
        <v>Fund Target</v>
      </c>
    </row>
    <row r="27">
      <c r="A27" t="str">
        <v>Stable Salaried Job</v>
      </c>
      <c r="B27">
        <v>6</v>
      </c>
      <c r="C27">
        <f>B22*B27</f>
      </c>
    </row>
    <row r="28">
      <c r="A28" t="str">
        <v>Government/PSU Job</v>
      </c>
      <c r="B28">
        <v>3</v>
      </c>
      <c r="C28">
        <f>B22*B28</f>
      </c>
    </row>
    <row r="29">
      <c r="A29" t="str">
        <v>Freelancer/Consultant</v>
      </c>
      <c r="B29">
        <v>9</v>
      </c>
      <c r="C29">
        <f>B22*B29</f>
      </c>
    </row>
    <row r="30">
      <c r="A30" t="str">
        <v>Business Owner</v>
      </c>
      <c r="B30">
        <v>12</v>
      </c>
      <c r="C30">
        <f>B22*B30</f>
      </c>
    </row>
    <row r="31">
      <c r="A31" t="str">
        <v>Single Income Household</v>
      </c>
      <c r="B31">
        <v>9</v>
      </c>
      <c r="C31">
        <f>B22*B31</f>
      </c>
    </row>
    <row r="32">
      <c r="A32" t="str">
        <v>Dual Income (Both Private)</v>
      </c>
      <c r="B32">
        <v>4</v>
      </c>
      <c r="C32">
        <f>B22*B32</f>
      </c>
    </row>
    <row r="33">
      <c r="A33" t="str">
        <v/>
      </c>
    </row>
    <row r="34">
      <c r="A34" t="str">
        <v>SELECT YOUR SITUATION (Enter months):</v>
      </c>
      <c r="B34">
        <v>6</v>
      </c>
    </row>
    <row r="35">
      <c r="A35" t="str">
        <v>YOUR EMERGENCY FUND TARGET</v>
      </c>
      <c r="B35">
        <f>B22*B34</f>
      </c>
    </row>
    <row r="36">
      <c r="A36" t="str">
        <v/>
      </c>
    </row>
    <row r="37">
      <c r="A37" t="str">
        <v>STEP 3: GAP ANALYSIS</v>
      </c>
    </row>
    <row r="38">
      <c r="A38" t="str">
        <v/>
      </c>
    </row>
    <row r="39">
      <c r="A39" t="str">
        <v>Your Current Emergency Fund</v>
      </c>
      <c r="B39">
        <v>100000</v>
      </c>
    </row>
    <row r="40">
      <c r="A40" t="str">
        <v>Amount Still Needed</v>
      </c>
      <c r="B40">
        <f>MAX(B35-B39,0)</f>
      </c>
    </row>
    <row r="41">
      <c r="A41" t="str">
        <v>Completion Percentage</v>
      </c>
      <c r="B41">
        <f>IF(B35&gt;0,MIN(ROUND(B39/B35*100,1),100),0)</f>
      </c>
    </row>
    <row r="42">
      <c r="A42" t="str">
        <v/>
      </c>
    </row>
    <row r="43">
      <c r="A43" t="str">
        <v>STEP 4: SAVINGS PLAN</v>
      </c>
    </row>
    <row r="44">
      <c r="A44" t="str">
        <v/>
      </c>
    </row>
    <row r="45">
      <c r="A45" t="str">
        <v>Monthly Amount You Can Save</v>
      </c>
      <c r="B45">
        <v>10000</v>
      </c>
    </row>
    <row r="46">
      <c r="A46" t="str">
        <v>Months to Reach Goal</v>
      </c>
      <c r="B46">
        <f>IF(B45&gt;0,CEILING(B40/B45,1),"Enter amount")</f>
      </c>
    </row>
    <row r="47">
      <c r="A47" t="str">
        <v/>
      </c>
    </row>
    <row r="48">
      <c r="A48" t="str">
        <v>WHERE TO PARK YOUR FUND:</v>
      </c>
    </row>
    <row r="49">
      <c r="A49" t="str">
        <v>Immediate (1 month) - Savings Account</v>
      </c>
      <c r="B49">
        <f>B22</f>
      </c>
    </row>
    <row r="50">
      <c r="A50" t="str">
        <v>Short-term (2-3 months) - Liquid Fund</v>
      </c>
      <c r="B50">
        <f>B22*2</f>
      </c>
    </row>
    <row r="51">
      <c r="A51" t="str">
        <v>Medium-term (3-6 months) - Bank FD</v>
      </c>
      <c r="B51">
        <f>MAX(B35-B49-B50,0)</f>
      </c>
    </row>
  </sheetData>
  <ignoredErrors>
    <ignoredError numberStoredAsText="1" sqref="A1:C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8.83203125" customWidth="1"/>
    <col min="2" max="2" width="18.83203125" customWidth="1"/>
    <col min="3" max="3" width="12.83203125" customWidth="1"/>
    <col min="4" max="4" width="12.83203125" customWidth="1"/>
    <col min="5" max="5" width="18.83203125" customWidth="1"/>
    <col min="6" max="6" width="12.83203125" customWidth="1"/>
  </cols>
  <sheetData>
    <row r="1">
      <c r="A1" t="str">
        <v>EMERGENCY FUND PROGRESS TRACKER</v>
      </c>
    </row>
    <row r="2">
      <c r="A2" t="str">
        <v/>
      </c>
    </row>
    <row r="3">
      <c r="A3" t="str">
        <v>Goal Amount:</v>
      </c>
      <c r="B3">
        <f>Calculator!B35</f>
      </c>
    </row>
    <row r="4">
      <c r="A4" t="str">
        <v/>
      </c>
    </row>
    <row r="5">
      <c r="A5" t="str">
        <v>Month</v>
      </c>
      <c r="B5" t="str">
        <v>Starting Balance</v>
      </c>
      <c r="C5" t="str">
        <v>Added</v>
      </c>
      <c r="D5" t="str">
        <v>Used</v>
      </c>
      <c r="E5" t="str">
        <v>Ending Balance</v>
      </c>
      <c r="F5" t="str">
        <v>Progress %</v>
      </c>
    </row>
    <row r="6">
      <c r="A6" t="str">
        <v>January 2025</v>
      </c>
      <c r="B6">
        <v>100000</v>
      </c>
      <c r="C6">
        <v>10000</v>
      </c>
      <c r="D6">
        <v>0</v>
      </c>
      <c r="E6">
        <f>B6+C6-D6</f>
      </c>
      <c r="F6">
        <f>IF($B$3&gt;0,ROUND(E6/$B$3*100,1),0)</f>
      </c>
    </row>
    <row r="7">
      <c r="A7" t="str">
        <v>February 2025</v>
      </c>
      <c r="B7">
        <f>E6</f>
      </c>
      <c r="C7">
        <v>10000</v>
      </c>
      <c r="D7">
        <v>0</v>
      </c>
      <c r="E7">
        <f>B7+C7-D7</f>
      </c>
      <c r="F7">
        <f>IF($B$3&gt;0,ROUND(E7/$B$3*100,1),0)</f>
      </c>
    </row>
    <row r="8">
      <c r="A8" t="str">
        <v>March 2025</v>
      </c>
      <c r="B8">
        <f>E7</f>
      </c>
      <c r="C8">
        <v>10000</v>
      </c>
      <c r="D8">
        <v>0</v>
      </c>
      <c r="E8">
        <f>B8+C8-D8</f>
      </c>
      <c r="F8">
        <f>IF($B$3&gt;0,ROUND(E8/$B$3*100,1),0)</f>
      </c>
    </row>
    <row r="9">
      <c r="A9" t="str">
        <v>April 2025</v>
      </c>
      <c r="B9">
        <f>E8</f>
      </c>
      <c r="C9">
        <v>10000</v>
      </c>
      <c r="D9">
        <v>0</v>
      </c>
      <c r="E9">
        <f>B9+C9-D9</f>
      </c>
      <c r="F9">
        <f>IF($B$3&gt;0,ROUND(E9/$B$3*100,1),0)</f>
      </c>
    </row>
    <row r="10">
      <c r="A10" t="str">
        <v>May 2025</v>
      </c>
      <c r="B10">
        <f>E9</f>
      </c>
      <c r="C10">
        <v>10000</v>
      </c>
      <c r="D10">
        <v>0</v>
      </c>
      <c r="E10">
        <f>B10+C10-D10</f>
      </c>
      <c r="F10">
        <f>IF($B$3&gt;0,ROUND(E10/$B$3*100,1),0)</f>
      </c>
    </row>
    <row r="11">
      <c r="A11" t="str">
        <v>June 2025</v>
      </c>
      <c r="B11">
        <f>E10</f>
      </c>
      <c r="C11">
        <v>10000</v>
      </c>
      <c r="D11">
        <v>0</v>
      </c>
      <c r="E11">
        <f>B11+C11-D11</f>
      </c>
      <c r="F11">
        <f>IF($B$3&gt;0,ROUND(E11/$B$3*100,1),0)</f>
      </c>
    </row>
    <row r="12">
      <c r="A12" t="str">
        <v>Continue...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</row>
    <row r="14">
      <c r="A14" t="str">
        <v>MILESTONES</v>
      </c>
    </row>
    <row r="15">
      <c r="A15" t="str">
        <v>25% of Goal</v>
      </c>
      <c r="B15">
        <f>B3*0.25</f>
      </c>
      <c r="C15">
        <f>IF(E6&gt;=B15,"Achieved","In Progress")</f>
      </c>
    </row>
    <row r="16">
      <c r="A16" t="str">
        <v>50% of Goal</v>
      </c>
      <c r="B16">
        <f>B3*0.5</f>
      </c>
      <c r="C16">
        <f>IF(E9&gt;=B16,"Achieved","In Progress")</f>
      </c>
    </row>
    <row r="17">
      <c r="A17" t="str">
        <v>100% GOAL!</v>
      </c>
      <c r="B17">
        <f>B3</f>
      </c>
      <c r="C17">
        <f>IF(E11&gt;=B17,"COMPLETED!","Keep Saving!")</f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Progress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