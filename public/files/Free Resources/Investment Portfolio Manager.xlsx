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Investments" sheetId="2" r:id="rId2"/>
    <sheet name="Return Calculator" sheetId="3" r:id="rId3"/>
    <sheet name="Asset Allocation" sheetId="4" r:id="rId4"/>
    <sheet name="Tax Strategy" sheetId="5" r:id="rId5"/>
    <sheet name="Goals Tracker" sheetId="6" r:id="rId6"/>
  </sheets>
  <calcPr calcId="124519" fullCalcOnLoad="1"/>
</workbook>
</file>

<file path=xl/sharedStrings.xml><?xml version="1.0" encoding="utf-8"?>
<sst xmlns="http://schemas.openxmlformats.org/spreadsheetml/2006/main" count="765" uniqueCount="578">
  <si>
    <t>YOUR PORTFOLIO OVERVIEW</t>
  </si>
  <si>
    <t>Total Portfolio Value</t>
  </si>
  <si>
    <t>Total Invested Amount</t>
  </si>
  <si>
    <t>Total Gain/Loss</t>
  </si>
  <si>
    <t>Overall Return %</t>
  </si>
  <si>
    <t>PORTFOLIO RETURNS ANALYSIS</t>
  </si>
  <si>
    <t>Return Type</t>
  </si>
  <si>
    <t>Absolute Return</t>
  </si>
  <si>
    <t>CAGR (Compounded Annual)</t>
  </si>
  <si>
    <t>YTD (This Year) Return</t>
  </si>
  <si>
    <t>ASSET ALLOCATION BREAKDOWN</t>
  </si>
  <si>
    <t>Asset Class</t>
  </si>
  <si>
    <t>Mutual Funds (Equity)</t>
  </si>
  <si>
    <t>Mutual Funds (Debt)</t>
  </si>
  <si>
    <t>Mutual Funds (Hybrid)</t>
  </si>
  <si>
    <t>Stocks (Direct)</t>
  </si>
  <si>
    <t>Fixed Deposits</t>
  </si>
  <si>
    <t>PPF</t>
  </si>
  <si>
    <t>NPS</t>
  </si>
  <si>
    <t>Gold/Silver</t>
  </si>
  <si>
    <t>ALLOCATION TARGETS vs ACTUAL</t>
  </si>
  <si>
    <t>Equity (MF + Stocks)</t>
  </si>
  <si>
    <t>Debt (MF + FD)</t>
  </si>
  <si>
    <t>Retirement (NPS)</t>
  </si>
  <si>
    <t>Safe Haven (PPF, Gold)</t>
  </si>
  <si>
    <t>TOP 5 PERFORMERS</t>
  </si>
  <si>
    <t>Rank</t>
  </si>
  <si>
    <t>1</t>
  </si>
  <si>
    <t>2</t>
  </si>
  <si>
    <t>3</t>
  </si>
  <si>
    <t>4</t>
  </si>
  <si>
    <t>5</t>
  </si>
  <si>
    <t>QUICK INSIGHTS</t>
  </si>
  <si>
    <t>Number of Investments</t>
  </si>
  <si>
    <t>Average Return per Investment</t>
  </si>
  <si>
    <t>Best Performing Asset Class</t>
  </si>
  <si>
    <t>Lowest Performing Asset</t>
  </si>
  <si>
    <t>Portfolio Risk Level</t>
  </si>
  <si>
    <t>₹</t>
  </si>
  <si>
    <t>Amount (₹)</t>
  </si>
  <si>
    <t>Invested (₹)</t>
  </si>
  <si>
    <t>Target Allocation</t>
  </si>
  <si>
    <t>60%</t>
  </si>
  <si>
    <t>25%</t>
  </si>
  <si>
    <t>10%</t>
  </si>
  <si>
    <t>5%</t>
  </si>
  <si>
    <t>Investment Name</t>
  </si>
  <si>
    <t>Best performer</t>
  </si>
  <si>
    <t>Second best</t>
  </si>
  <si>
    <t>Third best</t>
  </si>
  <si>
    <t>Fourth</t>
  </si>
  <si>
    <t>Fifth</t>
  </si>
  <si>
    <t>Percentage</t>
  </si>
  <si>
    <t>45%</t>
  </si>
  <si>
    <t>Current Value (₹)</t>
  </si>
  <si>
    <t>Current Allocation</t>
  </si>
  <si>
    <t>Active holdings</t>
  </si>
  <si>
    <t>Across portfolio</t>
  </si>
  <si>
    <t>Top class</t>
  </si>
  <si>
    <t>Bottom investment</t>
  </si>
  <si>
    <t>Based on equity %</t>
  </si>
  <si>
    <t>Annualized</t>
  </si>
  <si>
    <t>2026 performance</t>
  </si>
  <si>
    <t>% of Portfolio</t>
  </si>
  <si>
    <t>Difference</t>
  </si>
  <si>
    <t>Gain/Loss (₹)</t>
  </si>
  <si>
    <t>Current market value</t>
  </si>
  <si>
    <t>Total money put in</t>
  </si>
  <si>
    <t>Profit or loss</t>
  </si>
  <si>
    <t>Return on investment</t>
  </si>
  <si>
    <t>Performance</t>
  </si>
  <si>
    <t>Overall gain</t>
  </si>
  <si>
    <t>Per year avg</t>
  </si>
  <si>
    <t>Current year</t>
  </si>
  <si>
    <t>Status</t>
  </si>
  <si>
    <t>Growth focus</t>
  </si>
  <si>
    <t>Stable focus</t>
  </si>
  <si>
    <t>Balanced</t>
  </si>
  <si>
    <t>High risk</t>
  </si>
  <si>
    <t>Low risk</t>
  </si>
  <si>
    <t>Safe</t>
  </si>
  <si>
    <t>Retirement</t>
  </si>
  <si>
    <t>Hedge</t>
  </si>
  <si>
    <t>Recommendation</t>
  </si>
  <si>
    <t>Return %</t>
  </si>
  <si>
    <t>INVESTMENT PORTFOLIO MANAGER - VISUAL DASHBOARD</t>
  </si>
  <si>
    <t>Add all your investments below. System auto-calculates returns.</t>
  </si>
  <si>
    <t>Investment Details</t>
  </si>
  <si>
    <t>HDFC Equity Fund</t>
  </si>
  <si>
    <t>Axis Bank Ltd</t>
  </si>
  <si>
    <t>ICICI Prudential PPF</t>
  </si>
  <si>
    <t>State Bank FD (5 Year)</t>
  </si>
  <si>
    <t>ELSS Tax Saver</t>
  </si>
  <si>
    <t>HDFC Bank NPS</t>
  </si>
  <si>
    <t>Debt Fund (Low Risk)</t>
  </si>
  <si>
    <t>Gold ETF</t>
  </si>
  <si>
    <t>Reliance Industries</t>
  </si>
  <si>
    <t>Hybrid Fund</t>
  </si>
  <si>
    <t>Kotak Bank FD</t>
  </si>
  <si>
    <t>Infosys Ltd</t>
  </si>
  <si>
    <t>Motilal Oswal MF</t>
  </si>
  <si>
    <t>Yes Bank Ltd</t>
  </si>
  <si>
    <t>ICICI Bank FD</t>
  </si>
  <si>
    <t>Aditya Birla Sun Life MF</t>
  </si>
  <si>
    <t>Silver ETF</t>
  </si>
  <si>
    <t>TCS Ltd</t>
  </si>
  <si>
    <t>SBI Liquid Fund</t>
  </si>
  <si>
    <t>PORTFOLIO SUMMARY</t>
  </si>
  <si>
    <t>Total Invested</t>
  </si>
  <si>
    <t>Total Current Value</t>
  </si>
  <si>
    <t>Average CAGR</t>
  </si>
  <si>
    <t>Asset Type</t>
  </si>
  <si>
    <t>Equity MF</t>
  </si>
  <si>
    <t>Stocks</t>
  </si>
  <si>
    <t>FD</t>
  </si>
  <si>
    <t>Debt MF</t>
  </si>
  <si>
    <t>Hybrid MF</t>
  </si>
  <si>
    <t>Investment Date</t>
  </si>
  <si>
    <t>2023-01-15</t>
  </si>
  <si>
    <t>2023-06-01</t>
  </si>
  <si>
    <t>2022-01-01</t>
  </si>
  <si>
    <t>2023-03-10</t>
  </si>
  <si>
    <t>2024-01-01</t>
  </si>
  <si>
    <t>2023-02-01</t>
  </si>
  <si>
    <t>2024-06-15</t>
  </si>
  <si>
    <t>2023-09-20</t>
  </si>
  <si>
    <t>2024-03-01</t>
  </si>
  <si>
    <t>2023-11-10</t>
  </si>
  <si>
    <t>2024-01-20</t>
  </si>
  <si>
    <t>2023-07-15</t>
  </si>
  <si>
    <t>2024-02-01</t>
  </si>
  <si>
    <t>2023-05-10</t>
  </si>
  <si>
    <t>2024-04-01</t>
  </si>
  <si>
    <t>2023-12-15</t>
  </si>
  <si>
    <t>2024-01-10</t>
  </si>
  <si>
    <t>2023-08-05</t>
  </si>
  <si>
    <t>2024-05-15</t>
  </si>
  <si>
    <t>Amount Invested (₹)</t>
  </si>
  <si>
    <t>100000</t>
  </si>
  <si>
    <t>50000</t>
  </si>
  <si>
    <t>150000</t>
  </si>
  <si>
    <t>200000</t>
  </si>
  <si>
    <t>120000</t>
  </si>
  <si>
    <t>75000</t>
  </si>
  <si>
    <t>40000</t>
  </si>
  <si>
    <t>80000</t>
  </si>
  <si>
    <t>60000</t>
  </si>
  <si>
    <t>35000</t>
  </si>
  <si>
    <t>30000</t>
  </si>
  <si>
    <t>70000</t>
  </si>
  <si>
    <t>125000</t>
  </si>
  <si>
    <t>62000</t>
  </si>
  <si>
    <t>185000</t>
  </si>
  <si>
    <t>225000</t>
  </si>
  <si>
    <t>54000</t>
  </si>
  <si>
    <t>138000</t>
  </si>
  <si>
    <t>77500</t>
  </si>
  <si>
    <t>45000</t>
  </si>
  <si>
    <t>88000</t>
  </si>
  <si>
    <t>108000</t>
  </si>
  <si>
    <t>103500</t>
  </si>
  <si>
    <t>72000</t>
  </si>
  <si>
    <t>52000</t>
  </si>
  <si>
    <t>38500</t>
  </si>
  <si>
    <t>155000</t>
  </si>
  <si>
    <t>82500</t>
  </si>
  <si>
    <t>33000</t>
  </si>
  <si>
    <t>84000</t>
  </si>
  <si>
    <t>50750</t>
  </si>
  <si>
    <t>Annualized Return (CAGR)</t>
  </si>
  <si>
    <t>INVESTMENT PORTFOLIO - TRACK ALL INVESTMENTS</t>
  </si>
  <si>
    <t>Calculate different types of returns and understand your investment performance.</t>
  </si>
  <si>
    <t>INVESTMENT RETURNS EXPLAINED</t>
  </si>
  <si>
    <t>CAGR (Compounded Annual Growth Rate)</t>
  </si>
  <si>
    <t>YTD (Year-to-Date)</t>
  </si>
  <si>
    <t>CALCULATE YOUR RETURNS</t>
  </si>
  <si>
    <t>Your Investment Details</t>
  </si>
  <si>
    <t>Investment Amount</t>
  </si>
  <si>
    <t>Current Value</t>
  </si>
  <si>
    <t>Today's Date</t>
  </si>
  <si>
    <t>ABSOLUTE RETURN CALCULATION</t>
  </si>
  <si>
    <t>Gain/Loss Amount</t>
  </si>
  <si>
    <t>Absolute Return %</t>
  </si>
  <si>
    <t>CAGR CALCULATION</t>
  </si>
  <si>
    <t>Years Invested</t>
  </si>
  <si>
    <t>CAGR %</t>
  </si>
  <si>
    <t>COMPARISON: What CAGR Means</t>
  </si>
  <si>
    <t>Scenario</t>
  </si>
  <si>
    <t>Conservative</t>
  </si>
  <si>
    <t>Moderate</t>
  </si>
  <si>
    <t>Aggressive</t>
  </si>
  <si>
    <t>WHY CAGR MATTERS</t>
  </si>
  <si>
    <t>Issue with Absolute Return</t>
  </si>
  <si>
    <t>Ignores time invested</t>
  </si>
  <si>
    <t>Can't compare different timeframes</t>
  </si>
  <si>
    <t>Doesn't show compounding effect</t>
  </si>
  <si>
    <t>REAL PORTFOLIO EXAMPLES</t>
  </si>
  <si>
    <t>EXAMPLE 1: Balanced Portfolio (3-Year Period)</t>
  </si>
  <si>
    <t>Investment</t>
  </si>
  <si>
    <t>Total</t>
  </si>
  <si>
    <t>EXAMPLE 2: Aggressive Portfolio (5-Year Period)</t>
  </si>
  <si>
    <t>Large Cap Equity</t>
  </si>
  <si>
    <t>Mid Cap Equity</t>
  </si>
  <si>
    <t>Small Cap Equity</t>
  </si>
  <si>
    <t>HISTORICAL CAGR BENCHMARKS (India)</t>
  </si>
  <si>
    <t>Equity Mutual Funds</t>
  </si>
  <si>
    <t>Mid Cap Funds</t>
  </si>
  <si>
    <t>Debt Mutual Funds</t>
  </si>
  <si>
    <t>Gold</t>
  </si>
  <si>
    <t>Formula</t>
  </si>
  <si>
    <t>(Current Value - Investment) / Investment × 100</t>
  </si>
  <si>
    <t>((Final Value / Initial)^(1/n) - 1) × 100</t>
  </si>
  <si>
    <t>Current gain from Jan 1 to today</t>
  </si>
  <si>
    <t>Amount</t>
  </si>
  <si>
    <t>₹100,000</t>
  </si>
  <si>
    <t>CAGR Solution</t>
  </si>
  <si>
    <t>Annualizes growth per year</t>
  </si>
  <si>
    <t>Fair comparison across years</t>
  </si>
  <si>
    <t>Shows actual compound growth</t>
  </si>
  <si>
    <t>Invested</t>
  </si>
  <si>
    <t>₹50,000</t>
  </si>
  <si>
    <t>₹150,000</t>
  </si>
  <si>
    <t>₹300,000</t>
  </si>
  <si>
    <t>₹200,000</t>
  </si>
  <si>
    <t>₹350,000</t>
  </si>
  <si>
    <t>Historical CAGR</t>
  </si>
  <si>
    <t>12-18%</t>
  </si>
  <si>
    <t>14-22%</t>
  </si>
  <si>
    <t>5-8%</t>
  </si>
  <si>
    <t>6-7%</t>
  </si>
  <si>
    <t>7-8%</t>
  </si>
  <si>
    <t>8-10%</t>
  </si>
  <si>
    <t>Best For</t>
  </si>
  <si>
    <t>Short-term (1-2 years)</t>
  </si>
  <si>
    <t>Medium to Long-term (3+ years)</t>
  </si>
  <si>
    <t>Current year performance</t>
  </si>
  <si>
    <t>Enter Value</t>
  </si>
  <si>
    <t>2023-01-01</t>
  </si>
  <si>
    <t>2026-01-02</t>
  </si>
  <si>
    <t>Value After 3 Years</t>
  </si>
  <si>
    <t>₹115,000</t>
  </si>
  <si>
    <t>Example</t>
  </si>
  <si>
    <t>100% return in 5 years looks huge, but CAGR shows it's only 15% yearly</t>
  </si>
  <si>
    <t>Can't compare 1-year vs 5-year returns without CAGR</t>
  </si>
  <si>
    <t>₹100k at 20% abs. = not same as 20% every year</t>
  </si>
  <si>
    <t>₹145,000</t>
  </si>
  <si>
    <t>₹55,000</t>
  </si>
  <si>
    <t>₹185,000</t>
  </si>
  <si>
    <t>₹385,000</t>
  </si>
  <si>
    <t>₹380,000</t>
  </si>
  <si>
    <t>₹190,000</t>
  </si>
  <si>
    <t>₹125,000</t>
  </si>
  <si>
    <t>₹695,000</t>
  </si>
  <si>
    <t>Risk Level</t>
  </si>
  <si>
    <t>High</t>
  </si>
  <si>
    <t>Very High</t>
  </si>
  <si>
    <t>Low-Medium</t>
  </si>
  <si>
    <t>Very Low</t>
  </si>
  <si>
    <t>Medium</t>
  </si>
  <si>
    <t>Time Factor</t>
  </si>
  <si>
    <t>Does NOT consider time</t>
  </si>
  <si>
    <t>Considers compounding &amp; time</t>
  </si>
  <si>
    <t>Partial year</t>
  </si>
  <si>
    <t>Starting amount</t>
  </si>
  <si>
    <t>Today's market value</t>
  </si>
  <si>
    <t>When you invested</t>
  </si>
  <si>
    <t>Current date</t>
  </si>
  <si>
    <t>15%</t>
  </si>
  <si>
    <t>50%</t>
  </si>
  <si>
    <t>100%</t>
  </si>
  <si>
    <t>Impact</t>
  </si>
  <si>
    <t>Prevents misleading comparisons</t>
  </si>
  <si>
    <t>Apples-to-apples comparison</t>
  </si>
  <si>
    <t>Understand true growth</t>
  </si>
  <si>
    <t>23.3%</t>
  </si>
  <si>
    <t>28.3%</t>
  </si>
  <si>
    <t>90%</t>
  </si>
  <si>
    <t>150%</t>
  </si>
  <si>
    <t>98.6%</t>
  </si>
  <si>
    <t>Time Horizon</t>
  </si>
  <si>
    <t>7+ years</t>
  </si>
  <si>
    <t>10+ years</t>
  </si>
  <si>
    <t>3-5 years</t>
  </si>
  <si>
    <t>1-5 years</t>
  </si>
  <si>
    <t>15 years</t>
  </si>
  <si>
    <t>₹100k → ₹120k = 20% in 1 month</t>
  </si>
  <si>
    <t>₹100k → ₹150k over 3 years = 14.5% CAGR</t>
  </si>
  <si>
    <t>Jan 1 to now return</t>
  </si>
  <si>
    <t>Result</t>
  </si>
  <si>
    <t>Simple return</t>
  </si>
  <si>
    <t>3 years</t>
  </si>
  <si>
    <t>Per year growth</t>
  </si>
  <si>
    <t>CAGR</t>
  </si>
  <si>
    <t>4.8% CAGR</t>
  </si>
  <si>
    <t>14.5% CAGR</t>
  </si>
  <si>
    <t>26% CAGR</t>
  </si>
  <si>
    <t>Time Period</t>
  </si>
  <si>
    <t>5 years</t>
  </si>
  <si>
    <t>Typical Investment</t>
  </si>
  <si>
    <t>HDFC Equity, ICICI Prudential</t>
  </si>
  <si>
    <t>Axis Mid Cap, Motilal Oswal</t>
  </si>
  <si>
    <t>ICICI Debt, HDFC Bond Fund</t>
  </si>
  <si>
    <t>Bank FDs</t>
  </si>
  <si>
    <t>Government backed</t>
  </si>
  <si>
    <t>Gold ETF, Physical Gold</t>
  </si>
  <si>
    <t>Comparison</t>
  </si>
  <si>
    <t>Steady growth</t>
  </si>
  <si>
    <t>Good growth</t>
  </si>
  <si>
    <t>High growth</t>
  </si>
  <si>
    <t>RETURN CALCULATOR - ABSOLUTE &amp; CAGR ANALYSIS</t>
  </si>
  <si>
    <t>Optimize your portfolio with proper asset allocation based on age and goals.</t>
  </si>
  <si>
    <t>WHAT IS ASSET ALLOCATION?</t>
  </si>
  <si>
    <t>Concept</t>
  </si>
  <si>
    <t>Asset Allocation</t>
  </si>
  <si>
    <t>Diversification</t>
  </si>
  <si>
    <t>Rebalancing</t>
  </si>
  <si>
    <t>RECOMMENDED ALLOCATION BY AGE</t>
  </si>
  <si>
    <t>Age Group</t>
  </si>
  <si>
    <t>20-30 Years</t>
  </si>
  <si>
    <t>30-40 Years</t>
  </si>
  <si>
    <t>40-50 Years</t>
  </si>
  <si>
    <t>50-60 Years</t>
  </si>
  <si>
    <t>60+ Years</t>
  </si>
  <si>
    <t>YOUR CURRENT ALLOCATION ANALYSIS</t>
  </si>
  <si>
    <t>Safe (PPF, Gold)</t>
  </si>
  <si>
    <t>DETAILED ALLOCATION BREAKDOWN</t>
  </si>
  <si>
    <t>EQUITY INVESTMENTS (Growth Focus)</t>
  </si>
  <si>
    <t>Large Cap Funds</t>
  </si>
  <si>
    <t>Small Cap Funds</t>
  </si>
  <si>
    <t>Direct Stocks</t>
  </si>
  <si>
    <t>ELSS/Tax Saving Funds</t>
  </si>
  <si>
    <t>DEBT INVESTMENTS (Safety Focus)</t>
  </si>
  <si>
    <t>Bank Fixed Deposits</t>
  </si>
  <si>
    <t>Bonds/Debentures</t>
  </si>
  <si>
    <t>Liquid Funds</t>
  </si>
  <si>
    <t>RETIREMENT &amp; SAFE INVESTMENTS</t>
  </si>
  <si>
    <t>NPS (National Pension System)</t>
  </si>
  <si>
    <t>PPF (Public Provident Fund)</t>
  </si>
  <si>
    <t>Gold/Silver ETF</t>
  </si>
  <si>
    <t>REBALANCING RECOMMENDATIONS</t>
  </si>
  <si>
    <t>REBALANCING STRATEGY</t>
  </si>
  <si>
    <t>Method</t>
  </si>
  <si>
    <t>Quarterly Rebalancing</t>
  </si>
  <si>
    <t>Annual Rebalancing</t>
  </si>
  <si>
    <t>Threshold-Based</t>
  </si>
  <si>
    <t>Explanation</t>
  </si>
  <si>
    <t>Dividing portfolio among different asset types (Equity, Debt, Gold, etc.)</t>
  </si>
  <si>
    <t>Spreading across multiple investments within each asset class</t>
  </si>
  <si>
    <t>Adjusting portfolio back to target allocation periodically</t>
  </si>
  <si>
    <t>Equity %</t>
  </si>
  <si>
    <t>70-80%</t>
  </si>
  <si>
    <t>60-70%</t>
  </si>
  <si>
    <t>45-55%</t>
  </si>
  <si>
    <t>30-40%</t>
  </si>
  <si>
    <t>20-30%</t>
  </si>
  <si>
    <t>Your Amount (₹)</t>
  </si>
  <si>
    <t>Invested Amount</t>
  </si>
  <si>
    <t>0</t>
  </si>
  <si>
    <t>Action</t>
  </si>
  <si>
    <t>How It Works</t>
  </si>
  <si>
    <t>Review &amp; adjust every 3 months</t>
  </si>
  <si>
    <t>Review &amp; adjust once per year</t>
  </si>
  <si>
    <t>Rebalance only if allocation drifts &gt;5%</t>
  </si>
  <si>
    <t>Why It Matters</t>
  </si>
  <si>
    <t>Different assets perform differently in different market conditions</t>
  </si>
  <si>
    <t>Reduces risk of any single investment failing</t>
  </si>
  <si>
    <t>Maintains risk level and forces buying low, selling high</t>
  </si>
  <si>
    <t>Debt %</t>
  </si>
  <si>
    <t>10-15%</t>
  </si>
  <si>
    <t>35-45%</t>
  </si>
  <si>
    <t>50-60%</t>
  </si>
  <si>
    <t>Your %</t>
  </si>
  <si>
    <t>65%</t>
  </si>
  <si>
    <t>Pros</t>
  </si>
  <si>
    <t>Maintains target allocation</t>
  </si>
  <si>
    <t>Lower trading costs</t>
  </si>
  <si>
    <t>Minimizes unnecessary trades</t>
  </si>
  <si>
    <t>60% Equity, 30% Debt, 10% Gold</t>
  </si>
  <si>
    <t>5 stocks instead of 1</t>
  </si>
  <si>
    <t>Quarterly or yearly review</t>
  </si>
  <si>
    <t>Gold/Safe %</t>
  </si>
  <si>
    <t>5-10%</t>
  </si>
  <si>
    <t>Recommended %</t>
  </si>
  <si>
    <t>0%</t>
  </si>
  <si>
    <t>Cons</t>
  </si>
  <si>
    <t>Frequent trades = higher costs</t>
  </si>
  <si>
    <t>Can drift from allocation</t>
  </si>
  <si>
    <t>Need to track regularly</t>
  </si>
  <si>
    <t>High Risk</t>
  </si>
  <si>
    <t>Moderate-High</t>
  </si>
  <si>
    <t>Very Conservative</t>
  </si>
  <si>
    <t>Allocation %</t>
  </si>
  <si>
    <t>Amount to</t>
  </si>
  <si>
    <t>Active investors</t>
  </si>
  <si>
    <t>Most investors</t>
  </si>
  <si>
    <t>Long-term investors</t>
  </si>
  <si>
    <t>Goal</t>
  </si>
  <si>
    <t>Long-term growth</t>
  </si>
  <si>
    <t>Growth + some safety</t>
  </si>
  <si>
    <t>Balanced growth &amp; preservation</t>
  </si>
  <si>
    <t>Capital preservation</t>
  </si>
  <si>
    <t>Income + safety</t>
  </si>
  <si>
    <t>Action Needed</t>
  </si>
  <si>
    <t>10-20%</t>
  </si>
  <si>
    <t>0-20%</t>
  </si>
  <si>
    <t>0-10%</t>
  </si>
  <si>
    <t>0-5% (Emergency)</t>
  </si>
  <si>
    <t>0-5%</t>
  </si>
  <si>
    <t>When</t>
  </si>
  <si>
    <t>Quarterly</t>
  </si>
  <si>
    <t>Example Portfolio</t>
  </si>
  <si>
    <t>₹10L: ₹7.5L Equity, ₹1.5L Debt, ₹1L Gold</t>
  </si>
  <si>
    <t>₹10L: ₹6.5L Equity, ₹2.5L Debt, ₹1L Gold</t>
  </si>
  <si>
    <t>₹10L: ₹5L Equity, ₹4L Debt, ₹1L Gold</t>
  </si>
  <si>
    <t>₹10L: ₹3.5L Equity, ₹5.5L Debt, ₹1L Gold</t>
  </si>
  <si>
    <t>₹10L: ₹2.5L Equity, ₹6.5L Debt, ₹1L Gold</t>
  </si>
  <si>
    <t>ASSET ALLOCATION &amp; REBALANCING STRATEGY</t>
  </si>
  <si>
    <t>Maximize after-tax returns with smart investment choices.</t>
  </si>
  <si>
    <t>TAX TREATMENT OF INVESTMENTS (2025-26)</t>
  </si>
  <si>
    <t>Stocks (Listed)</t>
  </si>
  <si>
    <t>Fixed Deposits (Bank)</t>
  </si>
  <si>
    <t>INVESTMENT TAX SAVING STRATEGIES (Section 80C)</t>
  </si>
  <si>
    <t>Strategy</t>
  </si>
  <si>
    <t>1. Maximize 80C</t>
  </si>
  <si>
    <t>2. Add 80D (Insurance)</t>
  </si>
  <si>
    <t>3. Long-term Holding</t>
  </si>
  <si>
    <t>4. Indexation Benefit</t>
  </si>
  <si>
    <t>5. Tax-Loss Harvesting</t>
  </si>
  <si>
    <t>ANNUAL TAX PLANNING CHECKLIST</t>
  </si>
  <si>
    <t>Task</t>
  </si>
  <si>
    <t>Invest in ELSS/PPF (80C)</t>
  </si>
  <si>
    <t>Medical Insurance 80D</t>
  </si>
  <si>
    <t>Review &amp; Harvest Losses</t>
  </si>
  <si>
    <t>Rebalance for LTCG</t>
  </si>
  <si>
    <t>Track investment expenses</t>
  </si>
  <si>
    <t>TAX SCENARIO: ₹15 LPA EARNER</t>
  </si>
  <si>
    <t>SCENARIO 1: Without Tax Planning</t>
  </si>
  <si>
    <t>Income</t>
  </si>
  <si>
    <t>No deductions claimed</t>
  </si>
  <si>
    <t>Taxable Income</t>
  </si>
  <si>
    <t>Income Tax (at 30% slab)</t>
  </si>
  <si>
    <t>Health Cess (4%)</t>
  </si>
  <si>
    <t>TOTAL TAX</t>
  </si>
  <si>
    <t>SCENARIO 2: With Smart Tax Planning</t>
  </si>
  <si>
    <t>80C Deduction (ELSS)</t>
  </si>
  <si>
    <t>80D (Medical Insurance)</t>
  </si>
  <si>
    <t>Home Loan Interest 24(b)</t>
  </si>
  <si>
    <t>TAX SAVED</t>
  </si>
  <si>
    <t>Short-term Capital Gains (Hold &lt;1 yr)</t>
  </si>
  <si>
    <t>As per income slab (15-45%)</t>
  </si>
  <si>
    <t>N/A</t>
  </si>
  <si>
    <t>As per income slab</t>
  </si>
  <si>
    <t>Invest in ELSS, PPF, Life Insurance</t>
  </si>
  <si>
    <t>Medical insurance for self, family</t>
  </si>
  <si>
    <t>Hold stocks/MF &gt;1 year</t>
  </si>
  <si>
    <t>Hold debt MF/gold &gt;2 years</t>
  </si>
  <si>
    <t>Sell losing investments</t>
  </si>
  <si>
    <t>Deadline</t>
  </si>
  <si>
    <t>March 31</t>
  </si>
  <si>
    <t>December</t>
  </si>
  <si>
    <t>Ongoing</t>
  </si>
  <si>
    <t>Throughout year</t>
  </si>
  <si>
    <t>₹15,00,000</t>
  </si>
  <si>
    <t>₹4,50,000</t>
  </si>
  <si>
    <t>₹18,000</t>
  </si>
  <si>
    <t>₹4,68,000</t>
  </si>
  <si>
    <t>-₹1,50,000</t>
  </si>
  <si>
    <t>-₹25,000</t>
  </si>
  <si>
    <t>-₹2,00,000</t>
  </si>
  <si>
    <t>₹11,25,000</t>
  </si>
  <si>
    <t>₹3,37,500</t>
  </si>
  <si>
    <t>₹13,500</t>
  </si>
  <si>
    <t>₹3,51,000</t>
  </si>
  <si>
    <t>₹1,17,000</t>
  </si>
  <si>
    <t>Long-term Capital Gains (Hold &gt;1 yr)</t>
  </si>
  <si>
    <t>10% (if &gt;₹1L), else 0%</t>
  </si>
  <si>
    <t>20% with indexation benefit</t>
  </si>
  <si>
    <t>100% EXEMPT</t>
  </si>
  <si>
    <t>Partial exempt (40%)</t>
  </si>
  <si>
    <t>20% with indexation</t>
  </si>
  <si>
    <t>Max Limit</t>
  </si>
  <si>
    <t>₹1,50,000</t>
  </si>
  <si>
    <t>₹25,000-50,000</t>
  </si>
  <si>
    <t>No limit</t>
  </si>
  <si>
    <t>Tax Saved</t>
  </si>
  <si>
    <t>₹30,000-45,000</t>
  </si>
  <si>
    <t>₹5,000-15,000</t>
  </si>
  <si>
    <t>₹10,000-50,000</t>
  </si>
  <si>
    <t>Variable</t>
  </si>
  <si>
    <t>₹2,000-5,000</t>
  </si>
  <si>
    <t>Max limit</t>
  </si>
  <si>
    <t>25% reduction</t>
  </si>
  <si>
    <t>Dividend Tax</t>
  </si>
  <si>
    <t>Dividend exempt</t>
  </si>
  <si>
    <t>As per slab</t>
  </si>
  <si>
    <t>Tax Benefit</t>
  </si>
  <si>
    <t>₹45,000-67,500 (30-45% slab)</t>
  </si>
  <si>
    <t>₹7,500-22,500</t>
  </si>
  <si>
    <t>Reduced capital gains tax</t>
  </si>
  <si>
    <t>20% + inflation adjustment</t>
  </si>
  <si>
    <t>Offset gains with losses</t>
  </si>
  <si>
    <t>Plan early</t>
  </si>
  <si>
    <t>Renew policies</t>
  </si>
  <si>
    <t>Sell underperformers</t>
  </si>
  <si>
    <t>Hold &gt;1 year</t>
  </si>
  <si>
    <t>Keep records</t>
  </si>
  <si>
    <t>Wasted opportunity!</t>
  </si>
  <si>
    <t>Reduced!</t>
  </si>
  <si>
    <t>₹97,500/year</t>
  </si>
  <si>
    <t>Interest Tax</t>
  </si>
  <si>
    <t>Holding Period</t>
  </si>
  <si>
    <t>ELSS: 3 yrs, PPF: 15 yrs</t>
  </si>
  <si>
    <t>Yearly premium</t>
  </si>
  <si>
    <t>LTCG: 10% only</t>
  </si>
  <si>
    <t>3-5 years minimum</t>
  </si>
  <si>
    <t>Immediate</t>
  </si>
  <si>
    <t>Notes</t>
  </si>
  <si>
    <t>Max ₹1,50,000</t>
  </si>
  <si>
    <t>Max ₹25,000</t>
  </si>
  <si>
    <t>Offset gains</t>
  </si>
  <si>
    <t>Lower tax rate</t>
  </si>
  <si>
    <t>Deduct costs</t>
  </si>
  <si>
    <t>Smart planning</t>
  </si>
  <si>
    <t>INVESTMENT TAX OPTIMIZATION STRATEGY</t>
  </si>
  <si>
    <t>Track progress toward your financial goals with target amounts and timelines.</t>
  </si>
  <si>
    <t>FINANCIAL GOALS PLANNING</t>
  </si>
  <si>
    <t>Goal Name</t>
  </si>
  <si>
    <t>Retirement Fund</t>
  </si>
  <si>
    <t>Home Down Payment</t>
  </si>
  <si>
    <t>Child Education Fund</t>
  </si>
  <si>
    <t>Vacation/Travel</t>
  </si>
  <si>
    <t>Emergency Fund (6 months)</t>
  </si>
  <si>
    <t>Vehicle Purchase</t>
  </si>
  <si>
    <t>MONTHLY SAVINGS REQUIRED</t>
  </si>
  <si>
    <t>Emergency Fund</t>
  </si>
  <si>
    <t>MILESTONE CHECKLIST</t>
  </si>
  <si>
    <t>Milestone</t>
  </si>
  <si>
    <t>First ₹1 Lakh Portfolio</t>
  </si>
  <si>
    <t>First ₹5 Lakh Portfolio</t>
  </si>
  <si>
    <t>First ₹10 Lakh Portfolio</t>
  </si>
  <si>
    <t>10 Different Investments</t>
  </si>
  <si>
    <t>20% CAGR Average</t>
  </si>
  <si>
    <t>Target Amount (₹)</t>
  </si>
  <si>
    <t>5000000</t>
  </si>
  <si>
    <t>2000000</t>
  </si>
  <si>
    <t>3000000</t>
  </si>
  <si>
    <t>500000</t>
  </si>
  <si>
    <t>750000</t>
  </si>
  <si>
    <t>1200000</t>
  </si>
  <si>
    <t>Target Amount</t>
  </si>
  <si>
    <t>Target Completion</t>
  </si>
  <si>
    <t>By 2026-06-02</t>
  </si>
  <si>
    <t>By 2027-01-02</t>
  </si>
  <si>
    <t>By 2028-01-02</t>
  </si>
  <si>
    <t>Target Date</t>
  </si>
  <si>
    <t>2045-01-02</t>
  </si>
  <si>
    <t>2028-01-02</t>
  </si>
  <si>
    <t>2038-01-02</t>
  </si>
  <si>
    <t>2026-06-02</t>
  </si>
  <si>
    <t>2026-03-02</t>
  </si>
  <si>
    <t>2027-01-02</t>
  </si>
  <si>
    <t>Years Left</t>
  </si>
  <si>
    <t>Completed</t>
  </si>
  <si>
    <t>Years Away</t>
  </si>
  <si>
    <t>Monthly Needed (7% return)</t>
  </si>
  <si>
    <t>Building foundation</t>
  </si>
  <si>
    <t>Growing wealth</t>
  </si>
  <si>
    <t>Significant progress</t>
  </si>
  <si>
    <t>Strong returns</t>
  </si>
  <si>
    <t>Current Progress (₹)</t>
  </si>
  <si>
    <t>Current Monthly SIP</t>
  </si>
  <si>
    <t>25000</t>
  </si>
  <si>
    <t>10000</t>
  </si>
  <si>
    <t>15000</t>
  </si>
  <si>
    <t>20000</t>
  </si>
  <si>
    <t>Progress %</t>
  </si>
  <si>
    <t>Gap</t>
  </si>
  <si>
    <t>INVESTMENT GOALS &amp; PROGRESS TRACKER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</si>
</sst>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49.7109375" customWidth="1"/>
    <col min="2" max="4" width="50.7109375" customWidth="1"/>
    <col min="5" max="5" width="34.7109375" customWidth="1"/>
  </cols>
  <sheetData>
    <row r="1" spans="1:5">
      <c r="A1" t="s">
        <v>85</v>
      </c>
    </row>
    <row r="3" spans="1:5">
      <c r="A3" t="s">
        <v>0</v>
      </c>
    </row>
    <row r="4" spans="1:5">
      <c r="A4" t="s">
        <v>1</v>
      </c>
      <c r="B4" t="s">
        <v>38</v>
      </c>
      <c r="C4">
        <f>SUM('Investments'!E6:E24)</f>
        <v>0</v>
      </c>
      <c r="E4" t="s">
        <v>66</v>
      </c>
    </row>
    <row r="5" spans="1:5">
      <c r="A5" t="s">
        <v>2</v>
      </c>
      <c r="B5" t="s">
        <v>38</v>
      </c>
      <c r="C5">
        <f>SUM('Investments'!D6:D24)</f>
        <v>0</v>
      </c>
      <c r="E5" t="s">
        <v>67</v>
      </c>
    </row>
    <row r="6" spans="1:5">
      <c r="A6" t="s">
        <v>3</v>
      </c>
      <c r="B6" t="s">
        <v>38</v>
      </c>
      <c r="C6">
        <f>B3-B4</f>
        <v>0</v>
      </c>
      <c r="E6" t="s">
        <v>68</v>
      </c>
    </row>
    <row r="7" spans="1:5">
      <c r="A7" t="s">
        <v>4</v>
      </c>
      <c r="C7">
        <f>(B5/B4)*100%</f>
        <v>0</v>
      </c>
      <c r="E7" t="s">
        <v>69</v>
      </c>
    </row>
    <row r="9" spans="1:5">
      <c r="A9" t="s">
        <v>5</v>
      </c>
    </row>
    <row r="10" spans="1:5">
      <c r="A10" t="s">
        <v>6</v>
      </c>
      <c r="B10" t="s">
        <v>39</v>
      </c>
      <c r="C10" t="s">
        <v>52</v>
      </c>
      <c r="D10" t="s">
        <v>61</v>
      </c>
      <c r="E10" t="s">
        <v>70</v>
      </c>
    </row>
    <row r="11" spans="1:5">
      <c r="A11" t="s">
        <v>7</v>
      </c>
      <c r="B11">
        <f>B5</f>
        <v>0</v>
      </c>
      <c r="C11">
        <f>B6</f>
        <v>0</v>
      </c>
      <c r="D11">
        <f>IF(YEAR(TODAY())-YEAR('Investments'!C6)=0,B6,(B6/(YEAR(TODAY())-YEAR('Investments'!C6)))*100)%</f>
        <v>0</v>
      </c>
      <c r="E11" t="s">
        <v>71</v>
      </c>
    </row>
    <row r="12" spans="1:5">
      <c r="A12" t="s">
        <v>8</v>
      </c>
      <c r="B12">
        <f>B5</f>
        <v>0</v>
      </c>
      <c r="C12">
        <f>IF(YEAR(TODAY())-YEAR('Investments'!C6)=0,0,((POWER((B3/B4),(1/(YEAR(TODAY())-YEAR('Investments'!C6))))-1)*100)%</f>
        <v>0</v>
      </c>
      <c r="D12">
        <f>IF(YEAR(TODAY())-YEAR('Investments'!C6)=0,"&lt;1 year","Calculated")%</f>
        <v>0</v>
      </c>
      <c r="E12" t="s">
        <v>72</v>
      </c>
    </row>
    <row r="13" spans="1:5">
      <c r="A13" t="s">
        <v>9</v>
      </c>
      <c r="B13">
        <f>B5*0.45</f>
        <v>0</v>
      </c>
      <c r="C13" t="s">
        <v>53</v>
      </c>
      <c r="D13" t="s">
        <v>62</v>
      </c>
      <c r="E13" t="s">
        <v>73</v>
      </c>
    </row>
    <row r="15" spans="1:5">
      <c r="A15" t="s">
        <v>10</v>
      </c>
    </row>
    <row r="16" spans="1:5">
      <c r="A16" t="s">
        <v>11</v>
      </c>
      <c r="B16" t="s">
        <v>40</v>
      </c>
      <c r="C16" t="s">
        <v>54</v>
      </c>
      <c r="D16" t="s">
        <v>63</v>
      </c>
      <c r="E16" t="s">
        <v>74</v>
      </c>
    </row>
    <row r="17" spans="1:5">
      <c r="A17" t="s">
        <v>12</v>
      </c>
      <c r="B17">
        <f>SUMIF('Investments'!C6:C24,"Equity MF",'Investments'!D6:D24)</f>
        <v>0</v>
      </c>
      <c r="C17">
        <f>SUMIF('Investments'!C6:C24,"Equity MF",'Investments'!E6:E24)</f>
        <v>0</v>
      </c>
      <c r="D17">
        <f>SUMIF('Investments'!C6:C24,"Equity MF",'Investments'!E6:E24)/B3</f>
        <v>0</v>
      </c>
      <c r="E17" t="s">
        <v>75</v>
      </c>
    </row>
    <row r="18" spans="1:5">
      <c r="A18" t="s">
        <v>13</v>
      </c>
      <c r="B18">
        <f>SUMIF('Investments'!C6:C24,"Debt MF",'Investments'!D6:D24)</f>
        <v>0</v>
      </c>
      <c r="C18">
        <f>SUMIF('Investments'!C6:C24,"Debt MF",'Investments'!E6:E24)</f>
        <v>0</v>
      </c>
      <c r="D18">
        <f>SUMIF('Investments'!C6:C24,"Debt MF",'Investments'!E6:E24)/B3</f>
        <v>0</v>
      </c>
      <c r="E18" t="s">
        <v>76</v>
      </c>
    </row>
    <row r="19" spans="1:5">
      <c r="A19" t="s">
        <v>14</v>
      </c>
      <c r="B19">
        <f>SUMIF('Investments'!C6:C24,"Hybrid MF",'Investments'!D6:D24)</f>
        <v>0</v>
      </c>
      <c r="C19">
        <f>SUMIF('Investments'!C6:C24,"Hybrid MF",'Investments'!E6:E24)</f>
        <v>0</v>
      </c>
      <c r="D19">
        <f>SUMIF('Investments'!C6:C24,"Hybrid MF",'Investments'!E6:E24)/B3</f>
        <v>0</v>
      </c>
      <c r="E19" t="s">
        <v>77</v>
      </c>
    </row>
    <row r="20" spans="1:5">
      <c r="A20" t="s">
        <v>15</v>
      </c>
      <c r="B20">
        <f>SUMIF('Investments'!C6:C24,"Stocks",'Investments'!D6:D24)</f>
        <v>0</v>
      </c>
      <c r="C20">
        <f>SUMIF('Investments'!C6:C24,"Stocks",'Investments'!E6:E24)</f>
        <v>0</v>
      </c>
      <c r="D20">
        <f>SUMIF('Investments'!C6:C24,"Stocks",'Investments'!E6:E24)/B3</f>
        <v>0</v>
      </c>
      <c r="E20" t="s">
        <v>78</v>
      </c>
    </row>
    <row r="21" spans="1:5">
      <c r="A21" t="s">
        <v>16</v>
      </c>
      <c r="B21">
        <f>SUMIF('Investments'!C6:C24,"FD",'Investments'!D6:D24)</f>
        <v>0</v>
      </c>
      <c r="C21">
        <f>SUMIF('Investments'!C6:C24,"FD",'Investments'!E6:E24)</f>
        <v>0</v>
      </c>
      <c r="D21">
        <f>SUMIF('Investments'!C6:C24,"FD",'Investments'!E6:E24)/B3</f>
        <v>0</v>
      </c>
      <c r="E21" t="s">
        <v>79</v>
      </c>
    </row>
    <row r="22" spans="1:5">
      <c r="A22" t="s">
        <v>17</v>
      </c>
      <c r="B22">
        <f>SUMIF('Investments'!C6:C24,"PPF",'Investments'!D6:D24)</f>
        <v>0</v>
      </c>
      <c r="C22">
        <f>SUMIF('Investments'!C6:C24,"PPF",'Investments'!E6:E24)</f>
        <v>0</v>
      </c>
      <c r="D22">
        <f>SUMIF('Investments'!C6:C24,"PPF",'Investments'!E6:E24)/B3</f>
        <v>0</v>
      </c>
      <c r="E22" t="s">
        <v>80</v>
      </c>
    </row>
    <row r="23" spans="1:5">
      <c r="A23" t="s">
        <v>18</v>
      </c>
      <c r="B23">
        <f>SUMIF('Investments'!C6:C24,"NPS",'Investments'!D6:D24)</f>
        <v>0</v>
      </c>
      <c r="C23">
        <f>SUMIF('Investments'!C6:C24,"NPS",'Investments'!E6:E24)</f>
        <v>0</v>
      </c>
      <c r="D23">
        <f>SUMIF('Investments'!C6:C24,"NPS",'Investments'!E6:E24)/B3</f>
        <v>0</v>
      </c>
      <c r="E23" t="s">
        <v>81</v>
      </c>
    </row>
    <row r="24" spans="1:5">
      <c r="A24" t="s">
        <v>19</v>
      </c>
      <c r="B24">
        <f>SUMIF('Investments'!C6:C24,"Gold/Silver",'Investments'!D6:D24)</f>
        <v>0</v>
      </c>
      <c r="C24">
        <f>SUMIF('Investments'!C6:C24,"Gold/Silver",'Investments'!E6:E24)</f>
        <v>0</v>
      </c>
      <c r="D24">
        <f>SUMIF('Investments'!C6:C24,"Gold/Silver",'Investments'!E6:E24)/B3</f>
        <v>0</v>
      </c>
      <c r="E24" t="s">
        <v>82</v>
      </c>
    </row>
    <row r="26" spans="1:5">
      <c r="A26" t="s">
        <v>20</v>
      </c>
    </row>
    <row r="27" spans="1:5">
      <c r="A27" t="s">
        <v>11</v>
      </c>
      <c r="B27" t="s">
        <v>41</v>
      </c>
      <c r="C27" t="s">
        <v>55</v>
      </c>
      <c r="D27" t="s">
        <v>64</v>
      </c>
      <c r="E27" t="s">
        <v>83</v>
      </c>
    </row>
    <row r="28" spans="1:5">
      <c r="A28" t="s">
        <v>21</v>
      </c>
      <c r="B28" t="s">
        <v>42</v>
      </c>
      <c r="C28">
        <f>SUMIF('Investments'!C6:C24,"Equity MF",'Investments'!E6:E24)/B3+SUMIF('Investments'!C6:C24,"Stocks",'Investments'!E6:E24)/B3</f>
        <v>0</v>
      </c>
      <c r="D28">
        <f>E32-D32</f>
        <v>0</v>
      </c>
      <c r="E28">
        <f>IF(E32&gt;D32,"Reduce","Increase")</f>
        <v>0</v>
      </c>
    </row>
    <row r="29" spans="1:5">
      <c r="A29" t="s">
        <v>22</v>
      </c>
      <c r="B29" t="s">
        <v>43</v>
      </c>
      <c r="C29">
        <f>SUMIF('Investments'!C6:C24,"Debt MF",'Investments'!E6:E24)/B3+SUMIF('Investments'!C6:C24,"FD",'Investments'!E6:E24)/B3</f>
        <v>0</v>
      </c>
      <c r="D29">
        <f>E33-D33</f>
        <v>0</v>
      </c>
      <c r="E29">
        <f>IF(E33&gt;D33,"Reduce","Increase")</f>
        <v>0</v>
      </c>
    </row>
    <row r="30" spans="1:5">
      <c r="A30" t="s">
        <v>23</v>
      </c>
      <c r="B30" t="s">
        <v>44</v>
      </c>
      <c r="C30">
        <f>SUMIF('Investments'!C6:C24,"NPS",'Investments'!E6:E24)/B3</f>
        <v>0</v>
      </c>
      <c r="D30">
        <f>E34-D34</f>
        <v>0</v>
      </c>
      <c r="E30">
        <f>IF(E34&gt;D34,"Reduce","Increase")</f>
        <v>0</v>
      </c>
    </row>
    <row r="31" spans="1:5">
      <c r="A31" t="s">
        <v>24</v>
      </c>
      <c r="B31" t="s">
        <v>45</v>
      </c>
      <c r="C31">
        <f>SUMIF('Investments'!C6:C24,"PPF",'Investments'!E6:E24)/B3+SUMIF('Investments'!C6:C24,"Gold/Silver",'Investments'!E6:E24)/B3</f>
        <v>0</v>
      </c>
      <c r="D31">
        <f>E35-D35</f>
        <v>0</v>
      </c>
      <c r="E31">
        <f>IF(E35&gt;D35,"Reduce","Increase")</f>
        <v>0</v>
      </c>
    </row>
    <row r="33" spans="1:5">
      <c r="A33" t="s">
        <v>25</v>
      </c>
    </row>
    <row r="34" spans="1:5">
      <c r="A34" t="s">
        <v>26</v>
      </c>
      <c r="B34" t="s">
        <v>46</v>
      </c>
      <c r="C34" t="s">
        <v>54</v>
      </c>
      <c r="D34" t="s">
        <v>65</v>
      </c>
      <c r="E34" t="s">
        <v>84</v>
      </c>
    </row>
    <row r="35" spans="1:5">
      <c r="A35" t="s">
        <v>27</v>
      </c>
      <c r="B35" t="s">
        <v>47</v>
      </c>
      <c r="C35">
        <f>LARGE('Investments'!E6:E24,1)</f>
        <v>0</v>
      </c>
      <c r="D35">
        <f>LARGE('Investments'!F6:F24,1)</f>
        <v>0</v>
      </c>
      <c r="E35">
        <f>LARGE('Investments'!G6:G24,1)%</f>
        <v>0</v>
      </c>
    </row>
    <row r="36" spans="1:5">
      <c r="A36" t="s">
        <v>28</v>
      </c>
      <c r="B36" t="s">
        <v>48</v>
      </c>
      <c r="C36">
        <f>LARGE('Investments'!E6:E24,2)</f>
        <v>0</v>
      </c>
      <c r="D36">
        <f>LARGE('Investments'!F6:F24,2)</f>
        <v>0</v>
      </c>
      <c r="E36">
        <f>LARGE('Investments'!G6:G24,2)%</f>
        <v>0</v>
      </c>
    </row>
    <row r="37" spans="1:5">
      <c r="A37" t="s">
        <v>29</v>
      </c>
      <c r="B37" t="s">
        <v>49</v>
      </c>
      <c r="C37">
        <f>LARGE('Investments'!E6:E24,3)</f>
        <v>0</v>
      </c>
      <c r="D37">
        <f>LARGE('Investments'!F6:F24,3)</f>
        <v>0</v>
      </c>
      <c r="E37">
        <f>LARGE('Investments'!G6:G24,3)%</f>
        <v>0</v>
      </c>
    </row>
    <row r="38" spans="1:5">
      <c r="A38" t="s">
        <v>30</v>
      </c>
      <c r="B38" t="s">
        <v>50</v>
      </c>
      <c r="C38">
        <f>LARGE('Investments'!E6:E24,4)</f>
        <v>0</v>
      </c>
      <c r="D38">
        <f>LARGE('Investments'!F6:F24,4)</f>
        <v>0</v>
      </c>
      <c r="E38">
        <f>LARGE('Investments'!G6:G24,4)%</f>
        <v>0</v>
      </c>
    </row>
    <row r="39" spans="1:5">
      <c r="A39" t="s">
        <v>31</v>
      </c>
      <c r="B39" t="s">
        <v>51</v>
      </c>
      <c r="C39">
        <f>LARGE('Investments'!E6:E24,5)</f>
        <v>0</v>
      </c>
      <c r="D39">
        <f>LARGE('Investments'!F6:F24,5)</f>
        <v>0</v>
      </c>
      <c r="E39">
        <f>LARGE('Investments'!G6:G24,5)%</f>
        <v>0</v>
      </c>
    </row>
    <row r="41" spans="1:5">
      <c r="A41" t="s">
        <v>32</v>
      </c>
    </row>
    <row r="42" spans="1:5">
      <c r="A42" t="s">
        <v>33</v>
      </c>
      <c r="B42">
        <f>COUNTA('Investments'!A6:A24)</f>
        <v>0</v>
      </c>
      <c r="C42" t="s">
        <v>56</v>
      </c>
    </row>
    <row r="43" spans="1:5">
      <c r="A43" t="s">
        <v>34</v>
      </c>
      <c r="B43">
        <f>AVERAGE('Investments'!G6:G24)%</f>
        <v>0</v>
      </c>
      <c r="C43" t="s">
        <v>57</v>
      </c>
    </row>
    <row r="44" spans="1:5">
      <c r="A44" t="s">
        <v>35</v>
      </c>
      <c r="B44">
        <f>INDEX('Investments'!C6:C24,MATCH(MAX('Investments'!G6:G24),'Investments'!G6:G24,0))</f>
        <v>0</v>
      </c>
      <c r="C44" t="s">
        <v>58</v>
      </c>
    </row>
    <row r="45" spans="1:5">
      <c r="A45" t="s">
        <v>36</v>
      </c>
      <c r="B45">
        <f>INDEX('Investments'!A6:A24,MATCH(MIN('Investments'!G6:G24),'Investments'!G6:G24,0))</f>
        <v>0</v>
      </c>
      <c r="C45" t="s">
        <v>59</v>
      </c>
    </row>
    <row r="46" spans="1:5">
      <c r="A46" t="s">
        <v>37</v>
      </c>
      <c r="B46">
        <f>IF(SUMIF('Investments'!C6:C24,"Equity MF",'Investments'!E6:E24)/B3&gt;0.60,"HIGH RISK",IF(SUMIF('Investments'!C6:C24,"Equity MF",'Investments'!E6:E24)/B3&gt;0.40,"MODERATE RISK","LOW RISK"))</f>
        <v>0</v>
      </c>
      <c r="C4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1" width="50.7109375" customWidth="1"/>
    <col min="2" max="2" width="13.7109375" customWidth="1"/>
    <col min="3" max="3" width="33.7109375" customWidth="1"/>
    <col min="4" max="4" width="21.7109375" customWidth="1"/>
    <col min="5" max="5" width="19.7109375" customWidth="1"/>
    <col min="6" max="6" width="15.7109375" customWidth="1"/>
    <col min="7" max="7" width="17.7109375" customWidth="1"/>
    <col min="8" max="8" width="50.7109375" customWidth="1"/>
  </cols>
  <sheetData>
    <row r="1" spans="1:8">
      <c r="A1" t="s">
        <v>170</v>
      </c>
    </row>
    <row r="3" spans="1:8">
      <c r="A3" t="s">
        <v>86</v>
      </c>
    </row>
    <row r="5" spans="1:8">
      <c r="A5" t="s">
        <v>87</v>
      </c>
    </row>
    <row r="6" spans="1:8">
      <c r="A6" t="s">
        <v>46</v>
      </c>
      <c r="B6" t="s">
        <v>111</v>
      </c>
      <c r="C6" t="s">
        <v>117</v>
      </c>
      <c r="D6" t="s">
        <v>137</v>
      </c>
      <c r="E6" t="s">
        <v>54</v>
      </c>
      <c r="F6" t="s">
        <v>65</v>
      </c>
      <c r="G6" t="s">
        <v>84</v>
      </c>
      <c r="H6" t="s">
        <v>169</v>
      </c>
    </row>
    <row r="7" spans="1:8">
      <c r="A7" t="s">
        <v>88</v>
      </c>
      <c r="B7" t="s">
        <v>112</v>
      </c>
      <c r="C7" t="s">
        <v>118</v>
      </c>
      <c r="D7" t="s">
        <v>138</v>
      </c>
      <c r="E7" t="s">
        <v>150</v>
      </c>
      <c r="F7">
        <f>E6-D6</f>
        <v>0</v>
      </c>
      <c r="G7">
        <f>(F6/D6)*100%</f>
        <v>0</v>
      </c>
      <c r="H7">
        <f>(((E6/D6)^(1/(YEAR(TODAY())-YEAR(C6))))-1)*100%</f>
        <v>0</v>
      </c>
    </row>
    <row r="8" spans="1:8">
      <c r="A8" t="s">
        <v>89</v>
      </c>
      <c r="B8" t="s">
        <v>113</v>
      </c>
      <c r="C8" t="s">
        <v>119</v>
      </c>
      <c r="D8" t="s">
        <v>139</v>
      </c>
      <c r="E8" t="s">
        <v>151</v>
      </c>
      <c r="F8">
        <f>E7-D7</f>
        <v>0</v>
      </c>
      <c r="G8">
        <f>(F7/D7)*100%</f>
        <v>0</v>
      </c>
      <c r="H8">
        <f>(((E7/D7)^(1/(YEAR(TODAY())-YEAR(C7))))-1)*100%</f>
        <v>0</v>
      </c>
    </row>
    <row r="9" spans="1:8">
      <c r="A9" t="s">
        <v>90</v>
      </c>
      <c r="B9" t="s">
        <v>17</v>
      </c>
      <c r="C9" t="s">
        <v>120</v>
      </c>
      <c r="D9" t="s">
        <v>140</v>
      </c>
      <c r="E9" t="s">
        <v>152</v>
      </c>
      <c r="F9">
        <f>E8-D8</f>
        <v>0</v>
      </c>
      <c r="G9">
        <f>(F8/D8)*100%</f>
        <v>0</v>
      </c>
      <c r="H9">
        <f>(((E8/D8)^(1/(YEAR(TODAY())-YEAR(C8))))-1)*100%</f>
        <v>0</v>
      </c>
    </row>
    <row r="10" spans="1:8">
      <c r="A10" t="s">
        <v>91</v>
      </c>
      <c r="B10" t="s">
        <v>114</v>
      </c>
      <c r="C10" t="s">
        <v>121</v>
      </c>
      <c r="D10" t="s">
        <v>141</v>
      </c>
      <c r="E10" t="s">
        <v>153</v>
      </c>
      <c r="F10">
        <f>E9-D9</f>
        <v>0</v>
      </c>
      <c r="G10">
        <f>(F9/D9)*100%</f>
        <v>0</v>
      </c>
      <c r="H10">
        <f>(((E9/D9)^(1/(YEAR(TODAY())-YEAR(C9))))-1)*100%</f>
        <v>0</v>
      </c>
    </row>
    <row r="11" spans="1:8">
      <c r="A11" t="s">
        <v>92</v>
      </c>
      <c r="B11" t="s">
        <v>112</v>
      </c>
      <c r="C11" t="s">
        <v>122</v>
      </c>
      <c r="D11" t="s">
        <v>139</v>
      </c>
      <c r="E11" t="s">
        <v>154</v>
      </c>
      <c r="F11">
        <f>E10-D10</f>
        <v>0</v>
      </c>
      <c r="G11">
        <f>(F10/D10)*100%</f>
        <v>0</v>
      </c>
      <c r="H11">
        <f>(((E10/D10)^(1/(YEAR(TODAY())-YEAR(C10))))-1)*100%</f>
        <v>0</v>
      </c>
    </row>
    <row r="12" spans="1:8">
      <c r="A12" t="s">
        <v>93</v>
      </c>
      <c r="B12" t="s">
        <v>18</v>
      </c>
      <c r="C12" t="s">
        <v>123</v>
      </c>
      <c r="D12" t="s">
        <v>142</v>
      </c>
      <c r="E12" t="s">
        <v>155</v>
      </c>
      <c r="F12">
        <f>E11-D11</f>
        <v>0</v>
      </c>
      <c r="G12">
        <f>(F11/D11)*100%</f>
        <v>0</v>
      </c>
      <c r="H12">
        <f>(((E11/D11)^(1/(YEAR(TODAY())-YEAR(C11))))-1)*100%</f>
        <v>0</v>
      </c>
    </row>
    <row r="13" spans="1:8">
      <c r="A13" t="s">
        <v>94</v>
      </c>
      <c r="B13" t="s">
        <v>115</v>
      </c>
      <c r="C13" t="s">
        <v>124</v>
      </c>
      <c r="D13" t="s">
        <v>143</v>
      </c>
      <c r="E13" t="s">
        <v>156</v>
      </c>
      <c r="F13">
        <f>E12-D12</f>
        <v>0</v>
      </c>
      <c r="G13">
        <f>(F12/D12)*100%</f>
        <v>0</v>
      </c>
      <c r="H13">
        <f>(((E12/D12)^(1/(YEAR(TODAY())-YEAR(C12))))-1)*100%</f>
        <v>0</v>
      </c>
    </row>
    <row r="14" spans="1:8">
      <c r="A14" t="s">
        <v>95</v>
      </c>
      <c r="B14" t="s">
        <v>19</v>
      </c>
      <c r="C14" t="s">
        <v>125</v>
      </c>
      <c r="D14" t="s">
        <v>144</v>
      </c>
      <c r="E14" t="s">
        <v>157</v>
      </c>
      <c r="F14">
        <f>E13-D13</f>
        <v>0</v>
      </c>
      <c r="G14">
        <f>(F13/D13)*100%</f>
        <v>0</v>
      </c>
      <c r="H14">
        <f>(((E13/D13)^(1/(YEAR(TODAY())-YEAR(C13))))-1)*100%</f>
        <v>0</v>
      </c>
    </row>
    <row r="15" spans="1:8">
      <c r="A15" t="s">
        <v>96</v>
      </c>
      <c r="B15" t="s">
        <v>113</v>
      </c>
      <c r="C15" t="s">
        <v>126</v>
      </c>
      <c r="D15" t="s">
        <v>145</v>
      </c>
      <c r="E15" t="s">
        <v>158</v>
      </c>
      <c r="F15">
        <f>E14-D14</f>
        <v>0</v>
      </c>
      <c r="G15">
        <f>(F14/D14)*100%</f>
        <v>0</v>
      </c>
      <c r="H15">
        <f>(((E14/D14)^(1/(YEAR(TODAY())-YEAR(C14))))-1)*100%</f>
        <v>0</v>
      </c>
    </row>
    <row r="16" spans="1:8">
      <c r="A16" t="s">
        <v>97</v>
      </c>
      <c r="B16" t="s">
        <v>116</v>
      </c>
      <c r="C16" t="s">
        <v>127</v>
      </c>
      <c r="D16" t="s">
        <v>138</v>
      </c>
      <c r="E16" t="s">
        <v>159</v>
      </c>
      <c r="F16">
        <f>E15-D15</f>
        <v>0</v>
      </c>
      <c r="G16">
        <f>(F15/D15)*100%</f>
        <v>0</v>
      </c>
      <c r="H16">
        <f>(((E15/D15)^(1/(YEAR(TODAY())-YEAR(C15))))-1)*100%</f>
        <v>0</v>
      </c>
    </row>
    <row r="17" spans="1:8">
      <c r="A17" t="s">
        <v>98</v>
      </c>
      <c r="B17" t="s">
        <v>114</v>
      </c>
      <c r="C17" t="s">
        <v>128</v>
      </c>
      <c r="D17" t="s">
        <v>138</v>
      </c>
      <c r="E17" t="s">
        <v>160</v>
      </c>
      <c r="F17">
        <f>E16-D16</f>
        <v>0</v>
      </c>
      <c r="G17">
        <f>(F16/D16)*100%</f>
        <v>0</v>
      </c>
      <c r="H17">
        <f>(((E16/D16)^(1/(YEAR(TODAY())-YEAR(C16))))-1)*100%</f>
        <v>0</v>
      </c>
    </row>
    <row r="18" spans="1:8">
      <c r="A18" t="s">
        <v>99</v>
      </c>
      <c r="B18" t="s">
        <v>113</v>
      </c>
      <c r="C18" t="s">
        <v>129</v>
      </c>
      <c r="D18" t="s">
        <v>146</v>
      </c>
      <c r="E18" t="s">
        <v>161</v>
      </c>
      <c r="F18">
        <f>E17-D17</f>
        <v>0</v>
      </c>
      <c r="G18">
        <f>(F17/D17)*100%</f>
        <v>0</v>
      </c>
      <c r="H18">
        <f>(((E17/D17)^(1/(YEAR(TODAY())-YEAR(C17))))-1)*100%</f>
        <v>0</v>
      </c>
    </row>
    <row r="19" spans="1:8">
      <c r="A19" t="s">
        <v>100</v>
      </c>
      <c r="B19" t="s">
        <v>112</v>
      </c>
      <c r="C19" t="s">
        <v>130</v>
      </c>
      <c r="D19" t="s">
        <v>139</v>
      </c>
      <c r="E19" t="s">
        <v>162</v>
      </c>
      <c r="F19">
        <f>E18-D18</f>
        <v>0</v>
      </c>
      <c r="G19">
        <f>(F18/D18)*100%</f>
        <v>0</v>
      </c>
      <c r="H19">
        <f>(((E18/D18)^(1/(YEAR(TODAY())-YEAR(C18))))-1)*100%</f>
        <v>0</v>
      </c>
    </row>
    <row r="20" spans="1:8">
      <c r="A20" t="s">
        <v>101</v>
      </c>
      <c r="B20" t="s">
        <v>113</v>
      </c>
      <c r="C20" t="s">
        <v>131</v>
      </c>
      <c r="D20" t="s">
        <v>147</v>
      </c>
      <c r="E20" t="s">
        <v>163</v>
      </c>
      <c r="F20">
        <f>E19-D19</f>
        <v>0</v>
      </c>
      <c r="G20">
        <f>(F19/D19)*100%</f>
        <v>0</v>
      </c>
      <c r="H20">
        <f>(((E19/D19)^(1/(YEAR(TODAY())-YEAR(C19))))-1)*100%</f>
        <v>0</v>
      </c>
    </row>
    <row r="21" spans="1:8">
      <c r="A21" t="s">
        <v>102</v>
      </c>
      <c r="B21" t="s">
        <v>114</v>
      </c>
      <c r="C21" t="s">
        <v>132</v>
      </c>
      <c r="D21" t="s">
        <v>140</v>
      </c>
      <c r="E21" t="s">
        <v>164</v>
      </c>
      <c r="F21">
        <f>E20-D20</f>
        <v>0</v>
      </c>
      <c r="G21">
        <f>(F20/D20)*100%</f>
        <v>0</v>
      </c>
      <c r="H21">
        <f>(((E20/D20)^(1/(YEAR(TODAY())-YEAR(C20))))-1)*100%</f>
        <v>0</v>
      </c>
    </row>
    <row r="22" spans="1:8">
      <c r="A22" t="s">
        <v>103</v>
      </c>
      <c r="B22" t="s">
        <v>112</v>
      </c>
      <c r="C22" t="s">
        <v>133</v>
      </c>
      <c r="D22" t="s">
        <v>143</v>
      </c>
      <c r="E22" t="s">
        <v>165</v>
      </c>
      <c r="F22">
        <f>E21-D21</f>
        <v>0</v>
      </c>
      <c r="G22">
        <f>(F21/D21)*100%</f>
        <v>0</v>
      </c>
      <c r="H22">
        <f>(((E21/D21)^(1/(YEAR(TODAY())-YEAR(C21))))-1)*100%</f>
        <v>0</v>
      </c>
    </row>
    <row r="23" spans="1:8">
      <c r="A23" t="s">
        <v>104</v>
      </c>
      <c r="B23" t="s">
        <v>19</v>
      </c>
      <c r="C23" t="s">
        <v>134</v>
      </c>
      <c r="D23" t="s">
        <v>148</v>
      </c>
      <c r="E23" t="s">
        <v>166</v>
      </c>
      <c r="F23">
        <f>E22-D22</f>
        <v>0</v>
      </c>
      <c r="G23">
        <f>(F22/D22)*100%</f>
        <v>0</v>
      </c>
      <c r="H23">
        <f>(((E22/D22)^(1/(YEAR(TODAY())-YEAR(C22))))-1)*100%</f>
        <v>0</v>
      </c>
    </row>
    <row r="24" spans="1:8">
      <c r="A24" t="s">
        <v>105</v>
      </c>
      <c r="B24" t="s">
        <v>113</v>
      </c>
      <c r="C24" t="s">
        <v>135</v>
      </c>
      <c r="D24" t="s">
        <v>149</v>
      </c>
      <c r="E24" t="s">
        <v>167</v>
      </c>
      <c r="F24">
        <f>E23-D23</f>
        <v>0</v>
      </c>
      <c r="G24">
        <f>(F23/D23)*100%</f>
        <v>0</v>
      </c>
      <c r="H24">
        <f>(((E23/D23)^(1/(YEAR(TODAY())-YEAR(C23))))-1)*100%</f>
        <v>0</v>
      </c>
    </row>
    <row r="25" spans="1:8">
      <c r="A25" t="s">
        <v>106</v>
      </c>
      <c r="B25" t="s">
        <v>115</v>
      </c>
      <c r="C25" t="s">
        <v>136</v>
      </c>
      <c r="D25" t="s">
        <v>139</v>
      </c>
      <c r="E25" t="s">
        <v>168</v>
      </c>
      <c r="F25">
        <f>E24-D24</f>
        <v>0</v>
      </c>
      <c r="G25">
        <f>(F24/D24)*100%</f>
        <v>0</v>
      </c>
      <c r="H25">
        <f>(((E24/D24)^(1/(YEAR(TODAY())-YEAR(C24))))-1)*100%</f>
        <v>0</v>
      </c>
    </row>
    <row r="27" spans="1:8">
      <c r="A27" t="s">
        <v>107</v>
      </c>
    </row>
    <row r="28" spans="1:8">
      <c r="A28" t="s">
        <v>108</v>
      </c>
      <c r="B28" t="s">
        <v>38</v>
      </c>
      <c r="C28">
        <f>SUM(D6:D24)</f>
        <v>0</v>
      </c>
    </row>
    <row r="29" spans="1:8">
      <c r="A29" t="s">
        <v>109</v>
      </c>
      <c r="B29" t="s">
        <v>38</v>
      </c>
      <c r="C29">
        <f>SUM(E6:E24)</f>
        <v>0</v>
      </c>
    </row>
    <row r="30" spans="1:8">
      <c r="A30" t="s">
        <v>3</v>
      </c>
      <c r="B30" t="s">
        <v>38</v>
      </c>
      <c r="C30">
        <f>SUM(F6:F24)</f>
        <v>0</v>
      </c>
    </row>
    <row r="31" spans="1:8">
      <c r="A31" t="s">
        <v>4</v>
      </c>
      <c r="C31">
        <f>(SUM(F6:F24)/SUM(D6:D24))*100%</f>
        <v>0</v>
      </c>
    </row>
    <row r="32" spans="1:8">
      <c r="A32" t="s">
        <v>110</v>
      </c>
      <c r="C32">
        <f>AVERAGE(H6:H24)%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cols>
    <col min="1" max="1" width="50.7109375" customWidth="1"/>
    <col min="2" max="2" width="49.7109375" customWidth="1"/>
    <col min="3" max="3" width="50.7109375" customWidth="1"/>
    <col min="4" max="4" width="33.7109375" customWidth="1"/>
    <col min="5" max="5" width="41.7109375" customWidth="1"/>
    <col min="6" max="6" width="46.7109375" customWidth="1"/>
  </cols>
  <sheetData>
    <row r="1" spans="1:5">
      <c r="A1" t="s">
        <v>309</v>
      </c>
    </row>
    <row r="3" spans="1:5">
      <c r="A3" t="s">
        <v>171</v>
      </c>
    </row>
    <row r="5" spans="1:5">
      <c r="A5" t="s">
        <v>172</v>
      </c>
    </row>
    <row r="6" spans="1:5">
      <c r="A6" t="s">
        <v>6</v>
      </c>
      <c r="B6" t="s">
        <v>209</v>
      </c>
      <c r="C6" t="s">
        <v>232</v>
      </c>
      <c r="D6" t="s">
        <v>259</v>
      </c>
      <c r="E6" t="s">
        <v>241</v>
      </c>
    </row>
    <row r="7" spans="1:5">
      <c r="A7" t="s">
        <v>7</v>
      </c>
      <c r="B7" t="s">
        <v>210</v>
      </c>
      <c r="C7" t="s">
        <v>233</v>
      </c>
      <c r="D7" t="s">
        <v>260</v>
      </c>
      <c r="E7" t="s">
        <v>285</v>
      </c>
    </row>
    <row r="8" spans="1:5">
      <c r="A8" t="s">
        <v>173</v>
      </c>
      <c r="B8" t="s">
        <v>211</v>
      </c>
      <c r="C8" t="s">
        <v>234</v>
      </c>
      <c r="D8" t="s">
        <v>261</v>
      </c>
      <c r="E8" t="s">
        <v>286</v>
      </c>
    </row>
    <row r="9" spans="1:5">
      <c r="A9" t="s">
        <v>174</v>
      </c>
      <c r="B9" t="s">
        <v>212</v>
      </c>
      <c r="C9" t="s">
        <v>235</v>
      </c>
      <c r="D9" t="s">
        <v>262</v>
      </c>
      <c r="E9" t="s">
        <v>287</v>
      </c>
    </row>
    <row r="11" spans="1:5">
      <c r="A11" t="s">
        <v>175</v>
      </c>
    </row>
    <row r="13" spans="1:5">
      <c r="A13" t="s">
        <v>176</v>
      </c>
      <c r="B13" t="s">
        <v>213</v>
      </c>
      <c r="C13" t="s">
        <v>236</v>
      </c>
      <c r="D13" t="s">
        <v>209</v>
      </c>
      <c r="E13" t="s">
        <v>288</v>
      </c>
    </row>
    <row r="14" spans="1:5">
      <c r="A14" t="s">
        <v>177</v>
      </c>
      <c r="B14" t="s">
        <v>38</v>
      </c>
      <c r="C14" t="s">
        <v>138</v>
      </c>
      <c r="D14" t="s">
        <v>263</v>
      </c>
    </row>
    <row r="15" spans="1:5">
      <c r="A15" t="s">
        <v>178</v>
      </c>
      <c r="B15" t="s">
        <v>38</v>
      </c>
      <c r="C15" t="s">
        <v>142</v>
      </c>
      <c r="D15" t="s">
        <v>264</v>
      </c>
    </row>
    <row r="16" spans="1:5">
      <c r="A16" t="s">
        <v>117</v>
      </c>
      <c r="C16" t="s">
        <v>237</v>
      </c>
      <c r="D16" t="s">
        <v>265</v>
      </c>
    </row>
    <row r="17" spans="1:6">
      <c r="A17" t="s">
        <v>179</v>
      </c>
      <c r="C17" t="s">
        <v>238</v>
      </c>
      <c r="D17" t="s">
        <v>266</v>
      </c>
    </row>
    <row r="19" spans="1:6">
      <c r="A19" t="s">
        <v>180</v>
      </c>
    </row>
    <row r="20" spans="1:6">
      <c r="A20" t="s">
        <v>181</v>
      </c>
      <c r="B20" t="s">
        <v>38</v>
      </c>
      <c r="C20">
        <f>(D7-D6)</f>
        <v>0</v>
      </c>
      <c r="D20">
        <f>D7-D6</f>
        <v>0</v>
      </c>
    </row>
    <row r="21" spans="1:6">
      <c r="A21" t="s">
        <v>182</v>
      </c>
      <c r="C21">
        <f>((D7-D6)/D6)*100%</f>
        <v>0</v>
      </c>
      <c r="D21">
        <f>((D7-D6)/D6)*100%</f>
        <v>0</v>
      </c>
      <c r="E21" t="s">
        <v>289</v>
      </c>
    </row>
    <row r="23" spans="1:6">
      <c r="A23" t="s">
        <v>183</v>
      </c>
    </row>
    <row r="24" spans="1:6">
      <c r="A24" t="s">
        <v>184</v>
      </c>
      <c r="C24">
        <f>(YEAR(D10)-YEAR(D9))</f>
        <v>0</v>
      </c>
      <c r="D24">
        <f>YEAR(D10)-YEAR(D9)</f>
        <v>0</v>
      </c>
      <c r="E24" t="s">
        <v>290</v>
      </c>
    </row>
    <row r="25" spans="1:6">
      <c r="A25" t="s">
        <v>185</v>
      </c>
      <c r="C25">
        <f>((D7/D6)^(1/D12)-1)*100%</f>
        <v>0</v>
      </c>
      <c r="D25">
        <f>((D7/D6)^(1/D12)-1)*100%</f>
        <v>0</v>
      </c>
      <c r="E25" t="s">
        <v>291</v>
      </c>
    </row>
    <row r="27" spans="1:6">
      <c r="A27" t="s">
        <v>186</v>
      </c>
    </row>
    <row r="28" spans="1:6">
      <c r="A28" t="s">
        <v>187</v>
      </c>
      <c r="B28" t="s">
        <v>198</v>
      </c>
      <c r="C28" t="s">
        <v>239</v>
      </c>
      <c r="D28" t="s">
        <v>182</v>
      </c>
      <c r="E28" t="s">
        <v>292</v>
      </c>
      <c r="F28" t="s">
        <v>305</v>
      </c>
    </row>
    <row r="29" spans="1:6">
      <c r="A29" t="s">
        <v>188</v>
      </c>
      <c r="B29" t="s">
        <v>214</v>
      </c>
      <c r="C29" t="s">
        <v>240</v>
      </c>
      <c r="D29" t="s">
        <v>267</v>
      </c>
      <c r="E29" t="s">
        <v>293</v>
      </c>
      <c r="F29" t="s">
        <v>306</v>
      </c>
    </row>
    <row r="30" spans="1:6">
      <c r="A30" t="s">
        <v>189</v>
      </c>
      <c r="B30" t="s">
        <v>214</v>
      </c>
      <c r="C30" t="s">
        <v>221</v>
      </c>
      <c r="D30" t="s">
        <v>268</v>
      </c>
      <c r="E30" t="s">
        <v>294</v>
      </c>
      <c r="F30" t="s">
        <v>307</v>
      </c>
    </row>
    <row r="31" spans="1:6">
      <c r="A31" t="s">
        <v>190</v>
      </c>
      <c r="B31" t="s">
        <v>214</v>
      </c>
      <c r="C31" t="s">
        <v>223</v>
      </c>
      <c r="D31" t="s">
        <v>269</v>
      </c>
      <c r="E31" t="s">
        <v>295</v>
      </c>
      <c r="F31" t="s">
        <v>308</v>
      </c>
    </row>
    <row r="33" spans="1:6">
      <c r="A33" t="s">
        <v>191</v>
      </c>
    </row>
    <row r="35" spans="1:6">
      <c r="A35" t="s">
        <v>192</v>
      </c>
      <c r="B35" t="s">
        <v>215</v>
      </c>
      <c r="C35" t="s">
        <v>241</v>
      </c>
      <c r="D35" t="s">
        <v>270</v>
      </c>
    </row>
    <row r="36" spans="1:6">
      <c r="A36" t="s">
        <v>193</v>
      </c>
      <c r="B36" t="s">
        <v>216</v>
      </c>
      <c r="C36" t="s">
        <v>242</v>
      </c>
      <c r="D36" t="s">
        <v>271</v>
      </c>
    </row>
    <row r="37" spans="1:6">
      <c r="A37" t="s">
        <v>194</v>
      </c>
      <c r="B37" t="s">
        <v>217</v>
      </c>
      <c r="C37" t="s">
        <v>243</v>
      </c>
      <c r="D37" t="s">
        <v>272</v>
      </c>
    </row>
    <row r="38" spans="1:6">
      <c r="A38" t="s">
        <v>195</v>
      </c>
      <c r="B38" t="s">
        <v>218</v>
      </c>
      <c r="C38" t="s">
        <v>244</v>
      </c>
      <c r="D38" t="s">
        <v>273</v>
      </c>
    </row>
    <row r="40" spans="1:6">
      <c r="A40" t="s">
        <v>196</v>
      </c>
    </row>
    <row r="42" spans="1:6">
      <c r="A42" t="s">
        <v>197</v>
      </c>
    </row>
    <row r="43" spans="1:6">
      <c r="A43" t="s">
        <v>198</v>
      </c>
      <c r="B43" t="s">
        <v>219</v>
      </c>
      <c r="C43" t="s">
        <v>178</v>
      </c>
      <c r="D43" t="s">
        <v>7</v>
      </c>
      <c r="E43" t="s">
        <v>296</v>
      </c>
      <c r="F43" t="s">
        <v>292</v>
      </c>
    </row>
    <row r="44" spans="1:6">
      <c r="A44" t="s">
        <v>112</v>
      </c>
      <c r="B44" t="s">
        <v>214</v>
      </c>
      <c r="C44" t="s">
        <v>245</v>
      </c>
      <c r="D44" t="s">
        <v>53</v>
      </c>
      <c r="E44" t="s">
        <v>290</v>
      </c>
      <c r="F44">
        <f>((145000/100000)^(1/3)-1)*100% = 13.1%</f>
        <v>0</v>
      </c>
    </row>
    <row r="45" spans="1:6">
      <c r="A45" t="s">
        <v>115</v>
      </c>
      <c r="B45" t="s">
        <v>220</v>
      </c>
      <c r="C45" t="s">
        <v>246</v>
      </c>
      <c r="D45" t="s">
        <v>44</v>
      </c>
      <c r="E45" t="s">
        <v>290</v>
      </c>
      <c r="F45">
        <f>((55000/50000)^(1/3)-1)*100% = 3.2%</f>
        <v>0</v>
      </c>
    </row>
    <row r="46" spans="1:6">
      <c r="A46" t="s">
        <v>17</v>
      </c>
      <c r="B46" t="s">
        <v>221</v>
      </c>
      <c r="C46" t="s">
        <v>247</v>
      </c>
      <c r="D46" t="s">
        <v>274</v>
      </c>
      <c r="E46" t="s">
        <v>290</v>
      </c>
      <c r="F46">
        <f>((185000/150000)^(1/3)-1)*100% = 7.2%</f>
        <v>0</v>
      </c>
    </row>
    <row r="47" spans="1:6">
      <c r="A47" t="s">
        <v>199</v>
      </c>
      <c r="B47" t="s">
        <v>222</v>
      </c>
      <c r="C47" t="s">
        <v>248</v>
      </c>
      <c r="D47" t="s">
        <v>275</v>
      </c>
      <c r="E47" t="s">
        <v>290</v>
      </c>
      <c r="F47">
        <f>((385000/300000)^(1/3)-1)*100% = 8.2% CAGR</f>
        <v>0</v>
      </c>
    </row>
    <row r="49" spans="1:6">
      <c r="A49" t="s">
        <v>200</v>
      </c>
    </row>
    <row r="50" spans="1:6">
      <c r="A50" t="s">
        <v>198</v>
      </c>
      <c r="B50" t="s">
        <v>219</v>
      </c>
      <c r="C50" t="s">
        <v>178</v>
      </c>
      <c r="D50" t="s">
        <v>7</v>
      </c>
      <c r="E50" t="s">
        <v>296</v>
      </c>
      <c r="F50" t="s">
        <v>292</v>
      </c>
    </row>
    <row r="51" spans="1:6">
      <c r="A51" t="s">
        <v>201</v>
      </c>
      <c r="B51" t="s">
        <v>223</v>
      </c>
      <c r="C51" t="s">
        <v>249</v>
      </c>
      <c r="D51" t="s">
        <v>276</v>
      </c>
      <c r="E51" t="s">
        <v>297</v>
      </c>
      <c r="F51">
        <f>((380000/200000)^(1/5)-1)*100% = 13.7%</f>
        <v>0</v>
      </c>
    </row>
    <row r="52" spans="1:6">
      <c r="A52" t="s">
        <v>202</v>
      </c>
      <c r="B52" t="s">
        <v>214</v>
      </c>
      <c r="C52" t="s">
        <v>250</v>
      </c>
      <c r="D52" t="s">
        <v>276</v>
      </c>
      <c r="E52" t="s">
        <v>297</v>
      </c>
      <c r="F52">
        <f>((190000/100000)^(1/5)-1)*100% = 13.7%</f>
        <v>0</v>
      </c>
    </row>
    <row r="53" spans="1:6">
      <c r="A53" t="s">
        <v>203</v>
      </c>
      <c r="B53" t="s">
        <v>220</v>
      </c>
      <c r="C53" t="s">
        <v>251</v>
      </c>
      <c r="D53" t="s">
        <v>277</v>
      </c>
      <c r="E53" t="s">
        <v>297</v>
      </c>
      <c r="F53">
        <f>((125000/50000)^(1/5)-1)*100% = 20%</f>
        <v>0</v>
      </c>
    </row>
    <row r="54" spans="1:6">
      <c r="A54" t="s">
        <v>199</v>
      </c>
      <c r="B54" t="s">
        <v>224</v>
      </c>
      <c r="C54" t="s">
        <v>252</v>
      </c>
      <c r="D54" t="s">
        <v>278</v>
      </c>
      <c r="E54" t="s">
        <v>297</v>
      </c>
      <c r="F54">
        <f>((695000/350000)^(1/5)-1)*100% = 14.8% CAGR</f>
        <v>0</v>
      </c>
    </row>
    <row r="56" spans="1:6">
      <c r="A56" t="s">
        <v>204</v>
      </c>
    </row>
    <row r="57" spans="1:6">
      <c r="A57" t="s">
        <v>11</v>
      </c>
      <c r="B57" t="s">
        <v>225</v>
      </c>
      <c r="C57" t="s">
        <v>253</v>
      </c>
      <c r="D57" t="s">
        <v>279</v>
      </c>
      <c r="E57" t="s">
        <v>298</v>
      </c>
    </row>
    <row r="58" spans="1:6">
      <c r="A58" t="s">
        <v>205</v>
      </c>
      <c r="B58" t="s">
        <v>226</v>
      </c>
      <c r="C58" t="s">
        <v>254</v>
      </c>
      <c r="D58" t="s">
        <v>280</v>
      </c>
      <c r="E58" t="s">
        <v>299</v>
      </c>
    </row>
    <row r="59" spans="1:6">
      <c r="A59" t="s">
        <v>206</v>
      </c>
      <c r="B59" t="s">
        <v>227</v>
      </c>
      <c r="C59" t="s">
        <v>255</v>
      </c>
      <c r="D59" t="s">
        <v>281</v>
      </c>
      <c r="E59" t="s">
        <v>300</v>
      </c>
    </row>
    <row r="60" spans="1:6">
      <c r="A60" t="s">
        <v>207</v>
      </c>
      <c r="B60" t="s">
        <v>228</v>
      </c>
      <c r="C60" t="s">
        <v>256</v>
      </c>
      <c r="D60" t="s">
        <v>282</v>
      </c>
      <c r="E60" t="s">
        <v>301</v>
      </c>
    </row>
    <row r="61" spans="1:6">
      <c r="A61" t="s">
        <v>16</v>
      </c>
      <c r="B61" t="s">
        <v>229</v>
      </c>
      <c r="C61" t="s">
        <v>257</v>
      </c>
      <c r="D61" t="s">
        <v>283</v>
      </c>
      <c r="E61" t="s">
        <v>302</v>
      </c>
    </row>
    <row r="62" spans="1:6">
      <c r="A62" t="s">
        <v>17</v>
      </c>
      <c r="B62" t="s">
        <v>230</v>
      </c>
      <c r="C62" t="s">
        <v>257</v>
      </c>
      <c r="D62" t="s">
        <v>284</v>
      </c>
      <c r="E62" t="s">
        <v>303</v>
      </c>
    </row>
    <row r="63" spans="1:6">
      <c r="A63" t="s">
        <v>208</v>
      </c>
      <c r="B63" t="s">
        <v>231</v>
      </c>
      <c r="C63" t="s">
        <v>258</v>
      </c>
      <c r="D63" t="s">
        <v>282</v>
      </c>
      <c r="E63" t="s">
        <v>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cols>
    <col min="1" max="5" width="50.7109375" customWidth="1"/>
    <col min="6" max="6" width="34.7109375" customWidth="1"/>
    <col min="7" max="7" width="42.7109375" customWidth="1"/>
  </cols>
  <sheetData>
    <row r="1" spans="1:7">
      <c r="A1" t="s">
        <v>416</v>
      </c>
    </row>
    <row r="3" spans="1:7">
      <c r="A3" t="s">
        <v>310</v>
      </c>
    </row>
    <row r="5" spans="1:7">
      <c r="A5" t="s">
        <v>311</v>
      </c>
    </row>
    <row r="6" spans="1:7">
      <c r="A6" t="s">
        <v>312</v>
      </c>
      <c r="B6" t="s">
        <v>345</v>
      </c>
      <c r="C6" t="s">
        <v>363</v>
      </c>
      <c r="D6" t="s">
        <v>241</v>
      </c>
    </row>
    <row r="7" spans="1:7">
      <c r="A7" t="s">
        <v>313</v>
      </c>
      <c r="B7" t="s">
        <v>346</v>
      </c>
      <c r="C7" t="s">
        <v>364</v>
      </c>
      <c r="D7" t="s">
        <v>377</v>
      </c>
    </row>
    <row r="8" spans="1:7">
      <c r="A8" t="s">
        <v>314</v>
      </c>
      <c r="B8" t="s">
        <v>347</v>
      </c>
      <c r="C8" t="s">
        <v>365</v>
      </c>
      <c r="D8" t="s">
        <v>378</v>
      </c>
    </row>
    <row r="9" spans="1:7">
      <c r="A9" t="s">
        <v>315</v>
      </c>
      <c r="B9" t="s">
        <v>348</v>
      </c>
      <c r="C9" t="s">
        <v>366</v>
      </c>
      <c r="D9" t="s">
        <v>379</v>
      </c>
    </row>
    <row r="11" spans="1:7">
      <c r="A11" t="s">
        <v>316</v>
      </c>
    </row>
    <row r="12" spans="1:7">
      <c r="A12" t="s">
        <v>317</v>
      </c>
      <c r="B12" t="s">
        <v>349</v>
      </c>
      <c r="C12" t="s">
        <v>367</v>
      </c>
      <c r="D12" t="s">
        <v>380</v>
      </c>
      <c r="E12" t="s">
        <v>253</v>
      </c>
      <c r="F12" t="s">
        <v>396</v>
      </c>
      <c r="G12" t="s">
        <v>410</v>
      </c>
    </row>
    <row r="13" spans="1:7">
      <c r="A13" t="s">
        <v>318</v>
      </c>
      <c r="B13" t="s">
        <v>350</v>
      </c>
      <c r="C13" t="s">
        <v>368</v>
      </c>
      <c r="D13" t="s">
        <v>381</v>
      </c>
      <c r="E13" t="s">
        <v>388</v>
      </c>
      <c r="F13" t="s">
        <v>397</v>
      </c>
      <c r="G13" t="s">
        <v>411</v>
      </c>
    </row>
    <row r="14" spans="1:7">
      <c r="A14" t="s">
        <v>319</v>
      </c>
      <c r="B14" t="s">
        <v>351</v>
      </c>
      <c r="C14" t="s">
        <v>354</v>
      </c>
      <c r="D14" t="s">
        <v>381</v>
      </c>
      <c r="E14" t="s">
        <v>389</v>
      </c>
      <c r="F14" t="s">
        <v>398</v>
      </c>
      <c r="G14" t="s">
        <v>412</v>
      </c>
    </row>
    <row r="15" spans="1:7">
      <c r="A15" t="s">
        <v>320</v>
      </c>
      <c r="B15" t="s">
        <v>352</v>
      </c>
      <c r="C15" t="s">
        <v>369</v>
      </c>
      <c r="D15" t="s">
        <v>381</v>
      </c>
      <c r="E15" t="s">
        <v>189</v>
      </c>
      <c r="F15" t="s">
        <v>399</v>
      </c>
      <c r="G15" t="s">
        <v>413</v>
      </c>
    </row>
    <row r="16" spans="1:7">
      <c r="A16" t="s">
        <v>321</v>
      </c>
      <c r="B16" t="s">
        <v>353</v>
      </c>
      <c r="C16" t="s">
        <v>370</v>
      </c>
      <c r="D16" t="s">
        <v>381</v>
      </c>
      <c r="E16" t="s">
        <v>188</v>
      </c>
      <c r="F16" t="s">
        <v>400</v>
      </c>
      <c r="G16" t="s">
        <v>414</v>
      </c>
    </row>
    <row r="17" spans="1:7">
      <c r="A17" t="s">
        <v>322</v>
      </c>
      <c r="B17" t="s">
        <v>354</v>
      </c>
      <c r="C17" t="s">
        <v>351</v>
      </c>
      <c r="D17" t="s">
        <v>381</v>
      </c>
      <c r="E17" t="s">
        <v>390</v>
      </c>
      <c r="F17" t="s">
        <v>401</v>
      </c>
      <c r="G17" t="s">
        <v>415</v>
      </c>
    </row>
    <row r="19" spans="1:7">
      <c r="A19" t="s">
        <v>323</v>
      </c>
    </row>
    <row r="20" spans="1:7">
      <c r="A20" t="s">
        <v>11</v>
      </c>
      <c r="B20" t="s">
        <v>355</v>
      </c>
      <c r="C20" t="s">
        <v>371</v>
      </c>
      <c r="D20" t="s">
        <v>382</v>
      </c>
      <c r="E20" t="s">
        <v>64</v>
      </c>
      <c r="F20" t="s">
        <v>402</v>
      </c>
    </row>
    <row r="21" spans="1:7">
      <c r="A21" t="s">
        <v>21</v>
      </c>
      <c r="B21">
        <f>SUMIF('Investments'!C6:C24,"Equity MF",'Investments'!E6:E24)+SUMIF('Investments'!C6:C24,"Stocks",'Investments'!E6:E24)</f>
        <v>0</v>
      </c>
      <c r="C21">
        <f>B7/SUM(B7:B14)*100%</f>
        <v>0</v>
      </c>
      <c r="D21" t="s">
        <v>372</v>
      </c>
      <c r="E21">
        <f>B8-C8</f>
        <v>0</v>
      </c>
      <c r="F21">
        <f>IF(B8&gt;C8,"REDUCE","INCREASE")</f>
        <v>0</v>
      </c>
    </row>
    <row r="22" spans="1:7">
      <c r="A22" t="s">
        <v>22</v>
      </c>
      <c r="B22">
        <f>SUMIF('Investments'!C6:C24,"Debt MF",'Investments'!E6:E24)+SUMIF('Investments'!C6:C24,"FD",'Investments'!E6:E24)</f>
        <v>0</v>
      </c>
      <c r="C22">
        <f>B8/SUM(B7:B14)*100%</f>
        <v>0</v>
      </c>
      <c r="D22" t="s">
        <v>43</v>
      </c>
      <c r="E22">
        <f>B9-C9</f>
        <v>0</v>
      </c>
      <c r="F22">
        <f>IF(B9&gt;C9,"REDUCE","INCREASE")</f>
        <v>0</v>
      </c>
    </row>
    <row r="23" spans="1:7">
      <c r="A23" t="s">
        <v>23</v>
      </c>
      <c r="B23">
        <f>SUMIF('Investments'!C6:C24,"NPS",'Investments'!E6:E24)</f>
        <v>0</v>
      </c>
      <c r="C23">
        <f>B9/SUM(B7:B14)*100%</f>
        <v>0</v>
      </c>
      <c r="D23" t="s">
        <v>45</v>
      </c>
      <c r="E23">
        <f>B10-C10</f>
        <v>0</v>
      </c>
      <c r="F23">
        <f>IF(B10&gt;C10,"REDUCE","INCREASE")</f>
        <v>0</v>
      </c>
    </row>
    <row r="24" spans="1:7">
      <c r="A24" t="s">
        <v>324</v>
      </c>
      <c r="B24">
        <f>SUMIF('Investments'!C6:C24,"PPF",'Investments'!E6:E24)+SUMIF('Investments'!C6:C24,"Gold/Silver",'Investments'!E6:E24)</f>
        <v>0</v>
      </c>
      <c r="C24">
        <f>B10/SUM(B7:B14)*100%</f>
        <v>0</v>
      </c>
      <c r="D24" t="s">
        <v>45</v>
      </c>
      <c r="E24">
        <f>B11-C11</f>
        <v>0</v>
      </c>
      <c r="F24">
        <f>IF(B11&gt;C11,"REDUCE","INCREASE")</f>
        <v>0</v>
      </c>
    </row>
    <row r="26" spans="1:7">
      <c r="A26" t="s">
        <v>325</v>
      </c>
    </row>
    <row r="27" spans="1:7">
      <c r="A27" t="s">
        <v>11</v>
      </c>
      <c r="B27" t="s">
        <v>356</v>
      </c>
      <c r="C27" t="s">
        <v>178</v>
      </c>
      <c r="D27" t="s">
        <v>84</v>
      </c>
      <c r="E27" t="s">
        <v>391</v>
      </c>
    </row>
    <row r="29" spans="1:7">
      <c r="A29" t="s">
        <v>326</v>
      </c>
    </row>
    <row r="30" spans="1:7">
      <c r="A30" t="s">
        <v>327</v>
      </c>
      <c r="B30">
        <f>SUMIF('Investments'!A6:A24,"*Large*",'Investments'!D6:D24)</f>
        <v>0</v>
      </c>
      <c r="C30">
        <f>SUMIF('Investments'!A6:A24,"*Large*",'Investments'!E6:E24)</f>
        <v>0</v>
      </c>
      <c r="D30">
        <f>SUMIF('Investments'!A6:A24,"*Large*",'Investments'!G6:G24)%</f>
        <v>0</v>
      </c>
      <c r="E30">
        <f>SUMIF('Investments'!A6:A24,"*Large*",'Investments'!E6:E24)/SUM('Investments'!E6:E24)*100%</f>
        <v>0</v>
      </c>
      <c r="F30" t="s">
        <v>353</v>
      </c>
    </row>
    <row r="31" spans="1:7">
      <c r="A31" t="s">
        <v>206</v>
      </c>
      <c r="B31" t="s">
        <v>357</v>
      </c>
      <c r="C31" t="s">
        <v>357</v>
      </c>
      <c r="D31" t="s">
        <v>383</v>
      </c>
      <c r="E31" t="s">
        <v>383</v>
      </c>
      <c r="F31" t="s">
        <v>354</v>
      </c>
    </row>
    <row r="32" spans="1:7">
      <c r="A32" t="s">
        <v>328</v>
      </c>
      <c r="B32" t="s">
        <v>357</v>
      </c>
      <c r="C32" t="s">
        <v>357</v>
      </c>
      <c r="D32" t="s">
        <v>383</v>
      </c>
      <c r="E32" t="s">
        <v>383</v>
      </c>
      <c r="F32" t="s">
        <v>403</v>
      </c>
    </row>
    <row r="33" spans="1:6">
      <c r="A33" t="s">
        <v>329</v>
      </c>
      <c r="B33">
        <f>SUMIF('Investments'!C6:C24,"Stocks",'Investments'!D6:D24)</f>
        <v>0</v>
      </c>
      <c r="C33">
        <f>SUMIF('Investments'!C6:C24,"Stocks",'Investments'!E6:E24)</f>
        <v>0</v>
      </c>
      <c r="D33">
        <f>SUMIF('Investments'!C6:C24,"Stocks",'Investments'!G6:G24)%</f>
        <v>0</v>
      </c>
      <c r="E33">
        <f>SUMIF('Investments'!C6:C24,"Stocks",'Investments'!E6:E24)/SUM('Investments'!E6:E24)*100%</f>
        <v>0</v>
      </c>
      <c r="F33" t="s">
        <v>404</v>
      </c>
    </row>
    <row r="34" spans="1:6">
      <c r="A34" t="s">
        <v>330</v>
      </c>
      <c r="B34" t="s">
        <v>357</v>
      </c>
      <c r="C34" t="s">
        <v>357</v>
      </c>
      <c r="D34" t="s">
        <v>383</v>
      </c>
      <c r="E34" t="s">
        <v>383</v>
      </c>
      <c r="F34" t="s">
        <v>381</v>
      </c>
    </row>
    <row r="36" spans="1:6">
      <c r="A36" t="s">
        <v>331</v>
      </c>
    </row>
    <row r="37" spans="1:6">
      <c r="A37" t="s">
        <v>207</v>
      </c>
      <c r="B37">
        <f>SUMIF('Investments'!C6:C24,"Debt MF",'Investments'!D6:D24)</f>
        <v>0</v>
      </c>
      <c r="C37">
        <f>SUMIF('Investments'!C6:C24,"Debt MF",'Investments'!E6:E24)</f>
        <v>0</v>
      </c>
      <c r="D37">
        <f>AVERAGE(INDIRECT("'Investments'!G"&amp;MATCH("Debt MF",'Investments'!C6:C24,0)))%</f>
        <v>0</v>
      </c>
      <c r="E37">
        <f>SUMIF('Investments'!C6:C24,"Debt MF",'Investments'!E6:E24)/SUM('Investments'!E6:E24)*100%</f>
        <v>0</v>
      </c>
      <c r="F37" t="s">
        <v>368</v>
      </c>
    </row>
    <row r="38" spans="1:6">
      <c r="A38" t="s">
        <v>332</v>
      </c>
      <c r="B38">
        <f>SUMIF('Investments'!C6:C24,"FD",'Investments'!D6:D24)</f>
        <v>0</v>
      </c>
      <c r="C38">
        <f>SUMIF('Investments'!C6:C24,"FD",'Investments'!E6:E24)</f>
        <v>0</v>
      </c>
      <c r="D38">
        <f>SUMIF('Investments'!C6:C24,"FD",'Investments'!G6:G24)%</f>
        <v>0</v>
      </c>
      <c r="E38">
        <f>SUMIF('Investments'!C6:C24,"FD",'Investments'!E6:E24)/SUM('Investments'!E6:E24)*100%</f>
        <v>0</v>
      </c>
      <c r="F38" t="s">
        <v>368</v>
      </c>
    </row>
    <row r="39" spans="1:6">
      <c r="A39" t="s">
        <v>333</v>
      </c>
      <c r="B39" t="s">
        <v>357</v>
      </c>
      <c r="C39" t="s">
        <v>357</v>
      </c>
      <c r="D39" t="s">
        <v>383</v>
      </c>
      <c r="E39" t="s">
        <v>383</v>
      </c>
      <c r="F39" t="s">
        <v>405</v>
      </c>
    </row>
    <row r="40" spans="1:6">
      <c r="A40" t="s">
        <v>334</v>
      </c>
      <c r="B40" t="s">
        <v>357</v>
      </c>
      <c r="C40" t="s">
        <v>357</v>
      </c>
      <c r="D40" t="s">
        <v>383</v>
      </c>
      <c r="E40" t="s">
        <v>383</v>
      </c>
      <c r="F40" t="s">
        <v>406</v>
      </c>
    </row>
    <row r="42" spans="1:6">
      <c r="A42" t="s">
        <v>335</v>
      </c>
    </row>
    <row r="43" spans="1:6">
      <c r="A43" t="s">
        <v>336</v>
      </c>
      <c r="B43">
        <f>SUMIF('Investments'!C6:C24,"NPS",'Investments'!D6:D24)</f>
        <v>0</v>
      </c>
      <c r="C43">
        <f>SUMIF('Investments'!C6:C24,"NPS",'Investments'!E6:E24)</f>
        <v>0</v>
      </c>
      <c r="D43">
        <f>SUMIF('Investments'!C6:C24,"NPS",'Investments'!G6:G24)%</f>
        <v>0</v>
      </c>
      <c r="E43">
        <f>SUMIF('Investments'!C6:C24,"NPS",'Investments'!E6:E24)/SUM('Investments'!E6:E24)*100%</f>
        <v>0</v>
      </c>
      <c r="F43" t="s">
        <v>403</v>
      </c>
    </row>
    <row r="44" spans="1:6">
      <c r="A44" t="s">
        <v>337</v>
      </c>
      <c r="B44">
        <f>SUMIF('Investments'!C6:C24,"PPF",'Investments'!D6:D24)</f>
        <v>0</v>
      </c>
      <c r="C44">
        <f>SUMIF('Investments'!C6:C24,"PPF",'Investments'!E6:E24)</f>
        <v>0</v>
      </c>
      <c r="D44">
        <f>SUMIF('Investments'!C6:C24,"PPF",'Investments'!G6:G24)%</f>
        <v>0</v>
      </c>
      <c r="E44">
        <f>SUMIF('Investments'!C6:C24,"PPF",'Investments'!E6:E24)/SUM('Investments'!E6:E24)*100%</f>
        <v>0</v>
      </c>
      <c r="F44" t="s">
        <v>405</v>
      </c>
    </row>
    <row r="45" spans="1:6">
      <c r="A45" t="s">
        <v>338</v>
      </c>
      <c r="B45">
        <f>SUMIF('Investments'!C6:C24,"Gold/Silver",'Investments'!D6:D24)</f>
        <v>0</v>
      </c>
      <c r="C45">
        <f>SUMIF('Investments'!C6:C24,"Gold/Silver",'Investments'!E6:E24)</f>
        <v>0</v>
      </c>
      <c r="D45">
        <f>SUMIF('Investments'!C6:C24,"Gold/Silver",'Investments'!G6:G24)%</f>
        <v>0</v>
      </c>
      <c r="E45">
        <f>SUMIF('Investments'!C6:C24,"Gold/Silver",'Investments'!E6:E24)/SUM('Investments'!E6:E24)*100%</f>
        <v>0</v>
      </c>
      <c r="F45" t="s">
        <v>407</v>
      </c>
    </row>
    <row r="47" spans="1:6">
      <c r="A47" t="s">
        <v>339</v>
      </c>
    </row>
    <row r="48" spans="1:6">
      <c r="A48" t="s">
        <v>74</v>
      </c>
      <c r="B48" t="s">
        <v>358</v>
      </c>
      <c r="C48" t="s">
        <v>41</v>
      </c>
      <c r="D48" t="s">
        <v>55</v>
      </c>
      <c r="E48" t="s">
        <v>392</v>
      </c>
      <c r="F48" t="s">
        <v>408</v>
      </c>
    </row>
    <row r="49" spans="1:6">
      <c r="A49">
        <f>IF(B7&gt;C7,'Asset Allocation'!C8,"OK")</f>
        <v>0</v>
      </c>
      <c r="B49">
        <f>IF(B7&gt;C7,"REDUCE Equity","OK")</f>
        <v>0</v>
      </c>
      <c r="C49" t="s">
        <v>372</v>
      </c>
      <c r="D49">
        <f>B7/SUM(B7:B14)*100%</f>
        <v>0</v>
      </c>
      <c r="E49">
        <f>IF(B7&gt;C7,B7-C7*SUM(B7:B14),0)</f>
        <v>0</v>
      </c>
      <c r="F49" t="s">
        <v>409</v>
      </c>
    </row>
    <row r="50" spans="1:6">
      <c r="A50">
        <f>IF(B8&lt;C8,'Asset Allocation'!C9,"OK")</f>
        <v>0</v>
      </c>
      <c r="B50">
        <f>IF(B8&lt;C8,"INCREASE Debt","OK")</f>
        <v>0</v>
      </c>
      <c r="C50" t="s">
        <v>43</v>
      </c>
      <c r="D50">
        <f>B8/SUM(B7:B14)*100%</f>
        <v>0</v>
      </c>
      <c r="E50">
        <f>IF(B8&lt;C8,C8*SUM(B7:B14)-B8,0)</f>
        <v>0</v>
      </c>
      <c r="F50" t="s">
        <v>409</v>
      </c>
    </row>
    <row r="52" spans="1:6">
      <c r="A52" t="s">
        <v>340</v>
      </c>
    </row>
    <row r="53" spans="1:6">
      <c r="A53" t="s">
        <v>341</v>
      </c>
      <c r="B53" t="s">
        <v>359</v>
      </c>
      <c r="C53" t="s">
        <v>373</v>
      </c>
      <c r="D53" t="s">
        <v>384</v>
      </c>
      <c r="E53" t="s">
        <v>232</v>
      </c>
    </row>
    <row r="54" spans="1:6">
      <c r="A54" t="s">
        <v>342</v>
      </c>
      <c r="B54" t="s">
        <v>360</v>
      </c>
      <c r="C54" t="s">
        <v>374</v>
      </c>
      <c r="D54" t="s">
        <v>385</v>
      </c>
      <c r="E54" t="s">
        <v>393</v>
      </c>
    </row>
    <row r="55" spans="1:6">
      <c r="A55" t="s">
        <v>343</v>
      </c>
      <c r="B55" t="s">
        <v>361</v>
      </c>
      <c r="C55" t="s">
        <v>375</v>
      </c>
      <c r="D55" t="s">
        <v>386</v>
      </c>
      <c r="E55" t="s">
        <v>394</v>
      </c>
    </row>
    <row r="56" spans="1:6">
      <c r="A56" t="s">
        <v>344</v>
      </c>
      <c r="B56" t="s">
        <v>362</v>
      </c>
      <c r="C56" t="s">
        <v>376</v>
      </c>
      <c r="D56" t="s">
        <v>387</v>
      </c>
      <c r="E56" t="s">
        <v>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cols>
    <col min="1" max="1" width="50.7109375" customWidth="1"/>
    <col min="2" max="2" width="39.7109375" customWidth="1"/>
    <col min="3" max="3" width="38.7109375" customWidth="1"/>
    <col min="4" max="4" width="30.7109375" customWidth="1"/>
    <col min="5" max="5" width="26.7109375" customWidth="1"/>
  </cols>
  <sheetData>
    <row r="1" spans="1:5">
      <c r="A1" t="s">
        <v>523</v>
      </c>
    </row>
    <row r="3" spans="1:5">
      <c r="A3" t="s">
        <v>417</v>
      </c>
    </row>
    <row r="5" spans="1:5">
      <c r="A5" t="s">
        <v>418</v>
      </c>
    </row>
    <row r="6" spans="1:5">
      <c r="A6" t="s">
        <v>111</v>
      </c>
      <c r="B6" t="s">
        <v>448</v>
      </c>
      <c r="C6" t="s">
        <v>474</v>
      </c>
      <c r="D6" t="s">
        <v>492</v>
      </c>
      <c r="E6" t="s">
        <v>509</v>
      </c>
    </row>
    <row r="7" spans="1:5">
      <c r="A7" t="s">
        <v>205</v>
      </c>
      <c r="B7" t="s">
        <v>449</v>
      </c>
      <c r="C7" t="s">
        <v>475</v>
      </c>
      <c r="D7" t="s">
        <v>493</v>
      </c>
      <c r="E7" t="s">
        <v>450</v>
      </c>
    </row>
    <row r="8" spans="1:5">
      <c r="A8" t="s">
        <v>419</v>
      </c>
      <c r="B8" t="s">
        <v>449</v>
      </c>
      <c r="C8" t="s">
        <v>475</v>
      </c>
      <c r="D8" t="s">
        <v>494</v>
      </c>
      <c r="E8" t="s">
        <v>450</v>
      </c>
    </row>
    <row r="9" spans="1:5">
      <c r="A9" t="s">
        <v>207</v>
      </c>
      <c r="B9" t="s">
        <v>449</v>
      </c>
      <c r="C9" t="s">
        <v>476</v>
      </c>
      <c r="D9" t="s">
        <v>494</v>
      </c>
      <c r="E9" t="s">
        <v>450</v>
      </c>
    </row>
    <row r="10" spans="1:5">
      <c r="A10" t="s">
        <v>420</v>
      </c>
      <c r="B10" t="s">
        <v>450</v>
      </c>
      <c r="C10" t="s">
        <v>450</v>
      </c>
      <c r="D10" t="s">
        <v>450</v>
      </c>
      <c r="E10" t="s">
        <v>451</v>
      </c>
    </row>
    <row r="11" spans="1:5">
      <c r="A11" t="s">
        <v>17</v>
      </c>
      <c r="B11" t="s">
        <v>450</v>
      </c>
      <c r="C11" t="s">
        <v>477</v>
      </c>
      <c r="D11" t="s">
        <v>450</v>
      </c>
      <c r="E11" t="s">
        <v>450</v>
      </c>
    </row>
    <row r="12" spans="1:5">
      <c r="A12" t="s">
        <v>18</v>
      </c>
      <c r="B12" t="s">
        <v>450</v>
      </c>
      <c r="C12" t="s">
        <v>478</v>
      </c>
      <c r="D12" t="s">
        <v>450</v>
      </c>
      <c r="E12" t="s">
        <v>450</v>
      </c>
    </row>
    <row r="13" spans="1:5">
      <c r="A13" t="s">
        <v>208</v>
      </c>
      <c r="B13" t="s">
        <v>451</v>
      </c>
      <c r="C13" t="s">
        <v>479</v>
      </c>
      <c r="D13" t="s">
        <v>450</v>
      </c>
      <c r="E13" t="s">
        <v>450</v>
      </c>
    </row>
    <row r="15" spans="1:5">
      <c r="A15" t="s">
        <v>421</v>
      </c>
    </row>
    <row r="16" spans="1:5">
      <c r="A16" t="s">
        <v>422</v>
      </c>
      <c r="B16" t="s">
        <v>198</v>
      </c>
      <c r="C16" t="s">
        <v>480</v>
      </c>
      <c r="D16" t="s">
        <v>495</v>
      </c>
      <c r="E16" t="s">
        <v>510</v>
      </c>
    </row>
    <row r="17" spans="1:5">
      <c r="A17" t="s">
        <v>423</v>
      </c>
      <c r="B17" t="s">
        <v>452</v>
      </c>
      <c r="C17" t="s">
        <v>481</v>
      </c>
      <c r="D17" t="s">
        <v>496</v>
      </c>
      <c r="E17" t="s">
        <v>511</v>
      </c>
    </row>
    <row r="18" spans="1:5">
      <c r="A18" t="s">
        <v>424</v>
      </c>
      <c r="B18" t="s">
        <v>453</v>
      </c>
      <c r="C18" t="s">
        <v>482</v>
      </c>
      <c r="D18" t="s">
        <v>497</v>
      </c>
      <c r="E18" t="s">
        <v>512</v>
      </c>
    </row>
    <row r="19" spans="1:5">
      <c r="A19" t="s">
        <v>425</v>
      </c>
      <c r="B19" t="s">
        <v>454</v>
      </c>
      <c r="C19" t="s">
        <v>483</v>
      </c>
      <c r="D19" t="s">
        <v>498</v>
      </c>
      <c r="E19" t="s">
        <v>513</v>
      </c>
    </row>
    <row r="20" spans="1:5">
      <c r="A20" t="s">
        <v>426</v>
      </c>
      <c r="B20" t="s">
        <v>455</v>
      </c>
      <c r="C20" t="s">
        <v>483</v>
      </c>
      <c r="D20" t="s">
        <v>499</v>
      </c>
      <c r="E20" t="s">
        <v>514</v>
      </c>
    </row>
    <row r="21" spans="1:5">
      <c r="A21" t="s">
        <v>427</v>
      </c>
      <c r="B21" t="s">
        <v>456</v>
      </c>
      <c r="C21" t="s">
        <v>483</v>
      </c>
      <c r="D21" t="s">
        <v>500</v>
      </c>
      <c r="E21" t="s">
        <v>515</v>
      </c>
    </row>
    <row r="23" spans="1:5">
      <c r="A23" t="s">
        <v>428</v>
      </c>
    </row>
    <row r="24" spans="1:5">
      <c r="A24" t="s">
        <v>429</v>
      </c>
      <c r="B24" t="s">
        <v>457</v>
      </c>
      <c r="C24" t="s">
        <v>484</v>
      </c>
      <c r="D24" t="s">
        <v>74</v>
      </c>
      <c r="E24" t="s">
        <v>516</v>
      </c>
    </row>
    <row r="25" spans="1:5">
      <c r="A25" t="s">
        <v>430</v>
      </c>
      <c r="B25" t="s">
        <v>458</v>
      </c>
      <c r="C25" t="s">
        <v>485</v>
      </c>
      <c r="D25" t="s">
        <v>501</v>
      </c>
      <c r="E25" t="s">
        <v>517</v>
      </c>
    </row>
    <row r="26" spans="1:5">
      <c r="A26" t="s">
        <v>431</v>
      </c>
      <c r="B26" t="s">
        <v>458</v>
      </c>
      <c r="C26" t="s">
        <v>486</v>
      </c>
      <c r="D26" t="s">
        <v>502</v>
      </c>
      <c r="E26" t="s">
        <v>518</v>
      </c>
    </row>
    <row r="27" spans="1:5">
      <c r="A27" t="s">
        <v>432</v>
      </c>
      <c r="B27" t="s">
        <v>459</v>
      </c>
      <c r="C27" t="s">
        <v>487</v>
      </c>
      <c r="D27" t="s">
        <v>503</v>
      </c>
      <c r="E27" t="s">
        <v>519</v>
      </c>
    </row>
    <row r="28" spans="1:5">
      <c r="A28" t="s">
        <v>433</v>
      </c>
      <c r="B28" t="s">
        <v>460</v>
      </c>
      <c r="C28" t="s">
        <v>488</v>
      </c>
      <c r="D28" t="s">
        <v>504</v>
      </c>
      <c r="E28" t="s">
        <v>520</v>
      </c>
    </row>
    <row r="29" spans="1:5">
      <c r="A29" t="s">
        <v>434</v>
      </c>
      <c r="B29" t="s">
        <v>461</v>
      </c>
      <c r="C29" t="s">
        <v>489</v>
      </c>
      <c r="D29" t="s">
        <v>505</v>
      </c>
      <c r="E29" t="s">
        <v>521</v>
      </c>
    </row>
    <row r="31" spans="1:5">
      <c r="A31" t="s">
        <v>435</v>
      </c>
    </row>
    <row r="33" spans="1:4">
      <c r="A33" t="s">
        <v>436</v>
      </c>
    </row>
    <row r="34" spans="1:4">
      <c r="A34" t="s">
        <v>437</v>
      </c>
      <c r="B34" t="s">
        <v>462</v>
      </c>
    </row>
    <row r="35" spans="1:4">
      <c r="A35" t="s">
        <v>438</v>
      </c>
    </row>
    <row r="36" spans="1:4">
      <c r="A36" t="s">
        <v>439</v>
      </c>
      <c r="B36" t="s">
        <v>462</v>
      </c>
    </row>
    <row r="37" spans="1:4">
      <c r="A37" t="s">
        <v>440</v>
      </c>
      <c r="B37" t="s">
        <v>463</v>
      </c>
    </row>
    <row r="38" spans="1:4">
      <c r="A38" t="s">
        <v>441</v>
      </c>
      <c r="B38" t="s">
        <v>464</v>
      </c>
    </row>
    <row r="39" spans="1:4">
      <c r="A39" t="s">
        <v>442</v>
      </c>
      <c r="B39" t="s">
        <v>465</v>
      </c>
      <c r="D39" t="s">
        <v>506</v>
      </c>
    </row>
    <row r="41" spans="1:4">
      <c r="A41" t="s">
        <v>443</v>
      </c>
    </row>
    <row r="42" spans="1:4">
      <c r="A42" t="s">
        <v>437</v>
      </c>
      <c r="B42" t="s">
        <v>462</v>
      </c>
    </row>
    <row r="43" spans="1:4">
      <c r="A43" t="s">
        <v>444</v>
      </c>
      <c r="B43" t="s">
        <v>466</v>
      </c>
      <c r="C43" t="s">
        <v>490</v>
      </c>
    </row>
    <row r="44" spans="1:4">
      <c r="A44" t="s">
        <v>445</v>
      </c>
      <c r="B44" t="s">
        <v>467</v>
      </c>
      <c r="C44" t="s">
        <v>490</v>
      </c>
    </row>
    <row r="45" spans="1:4">
      <c r="A45" t="s">
        <v>446</v>
      </c>
      <c r="B45" t="s">
        <v>468</v>
      </c>
      <c r="C45" t="s">
        <v>490</v>
      </c>
    </row>
    <row r="46" spans="1:4">
      <c r="A46" t="s">
        <v>439</v>
      </c>
      <c r="B46" t="s">
        <v>469</v>
      </c>
      <c r="D46" t="s">
        <v>507</v>
      </c>
    </row>
    <row r="47" spans="1:4">
      <c r="A47" t="s">
        <v>440</v>
      </c>
      <c r="B47" t="s">
        <v>470</v>
      </c>
    </row>
    <row r="48" spans="1:4">
      <c r="A48" t="s">
        <v>441</v>
      </c>
      <c r="B48" t="s">
        <v>471</v>
      </c>
    </row>
    <row r="49" spans="1:5">
      <c r="A49" t="s">
        <v>442</v>
      </c>
      <c r="B49" t="s">
        <v>472</v>
      </c>
    </row>
    <row r="51" spans="1:5">
      <c r="A51" t="s">
        <v>447</v>
      </c>
      <c r="B51" t="s">
        <v>473</v>
      </c>
      <c r="C51" t="s">
        <v>491</v>
      </c>
      <c r="D51" t="s">
        <v>508</v>
      </c>
      <c r="E51" t="s">
        <v>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50.7109375" customWidth="1"/>
    <col min="2" max="2" width="19.7109375" customWidth="1"/>
    <col min="3" max="3" width="50.7109375" customWidth="1"/>
    <col min="4" max="4" width="28.7109375" customWidth="1"/>
    <col min="5" max="5" width="50.7109375" customWidth="1"/>
    <col min="6" max="6" width="35.7109375" customWidth="1"/>
    <col min="7" max="7" width="43.7109375" customWidth="1"/>
  </cols>
  <sheetData>
    <row r="1" spans="1:7">
      <c r="A1" t="s">
        <v>577</v>
      </c>
    </row>
    <row r="3" spans="1:7">
      <c r="A3" t="s">
        <v>524</v>
      </c>
    </row>
    <row r="5" spans="1:7">
      <c r="A5" t="s">
        <v>525</v>
      </c>
    </row>
    <row r="6" spans="1:7">
      <c r="A6" t="s">
        <v>526</v>
      </c>
      <c r="B6" t="s">
        <v>542</v>
      </c>
      <c r="C6" t="s">
        <v>554</v>
      </c>
      <c r="D6" t="s">
        <v>563</v>
      </c>
      <c r="E6" t="s">
        <v>569</v>
      </c>
      <c r="F6" t="s">
        <v>575</v>
      </c>
      <c r="G6" t="s">
        <v>74</v>
      </c>
    </row>
    <row r="7" spans="1:7">
      <c r="A7" t="s">
        <v>527</v>
      </c>
      <c r="B7" t="s">
        <v>543</v>
      </c>
      <c r="C7" t="s">
        <v>555</v>
      </c>
      <c r="D7">
        <f>YEAR(D8)-YEAR(TODAY())</f>
        <v>0</v>
      </c>
      <c r="E7">
        <f>SUMIF('Investments'!C6:C24,"NPS",'Investments'!E6:E24)</f>
        <v>0</v>
      </c>
      <c r="F7">
        <f>E8/B8*100%</f>
        <v>0</v>
      </c>
      <c r="G7">
        <f>IF(F8&gt;=50%,"On Track","Behind")</f>
        <v>0</v>
      </c>
    </row>
    <row r="8" spans="1:7">
      <c r="A8" t="s">
        <v>528</v>
      </c>
      <c r="B8" t="s">
        <v>544</v>
      </c>
      <c r="C8" t="s">
        <v>556</v>
      </c>
      <c r="D8">
        <f>YEAR(D9)-YEAR(TODAY())</f>
        <v>0</v>
      </c>
      <c r="E8">
        <f>SUMIF('Investments'!C6:C24,"Stocks",'Investments'!E6:E24)*0.30</f>
        <v>0</v>
      </c>
      <c r="F8">
        <f>E9/B9*100%</f>
        <v>0</v>
      </c>
      <c r="G8">
        <f>IF(F9&gt;=50%,"On Track","Behind")</f>
        <v>0</v>
      </c>
    </row>
    <row r="9" spans="1:7">
      <c r="A9" t="s">
        <v>529</v>
      </c>
      <c r="B9" t="s">
        <v>545</v>
      </c>
      <c r="C9" t="s">
        <v>557</v>
      </c>
      <c r="D9">
        <f>YEAR(D10)-YEAR(TODAY())</f>
        <v>0</v>
      </c>
      <c r="E9">
        <f>SUMIF('Investments'!C6:C24,"Equity MF",'Investments'!E6:E24)*0.40</f>
        <v>0</v>
      </c>
      <c r="F9">
        <f>E10/B10*100%</f>
        <v>0</v>
      </c>
      <c r="G9">
        <f>IF(F10&gt;=50%,"On Track","Behind")</f>
        <v>0</v>
      </c>
    </row>
    <row r="10" spans="1:7">
      <c r="A10" t="s">
        <v>530</v>
      </c>
      <c r="B10" t="s">
        <v>546</v>
      </c>
      <c r="C10" t="s">
        <v>558</v>
      </c>
      <c r="D10">
        <f>YEAR(D11)-YEAR(TODAY())</f>
        <v>0</v>
      </c>
      <c r="E10">
        <f>SUMIF('Investments'!C6:C24,"FD",'Investments'!E6:E24)*0.20</f>
        <v>0</v>
      </c>
      <c r="F10">
        <f>E11/B11*100%</f>
        <v>0</v>
      </c>
      <c r="G10">
        <f>IF(F11&gt;=50%,"On Track","Behind")</f>
        <v>0</v>
      </c>
    </row>
    <row r="11" spans="1:7">
      <c r="A11" t="s">
        <v>531</v>
      </c>
      <c r="B11" t="s">
        <v>547</v>
      </c>
      <c r="C11" t="s">
        <v>559</v>
      </c>
      <c r="D11">
        <f>YEAR(D12)-YEAR(TODAY())</f>
        <v>0</v>
      </c>
      <c r="E11">
        <f>SUMIF('Investments'!C6:C24,"Debt MF",'Investments'!E6:E24)</f>
        <v>0</v>
      </c>
      <c r="F11">
        <f>E12/B12*100%</f>
        <v>0</v>
      </c>
      <c r="G11">
        <f>IF(F12&gt;=100%,"✓ Complete","In Progress")</f>
        <v>0</v>
      </c>
    </row>
    <row r="12" spans="1:7">
      <c r="A12" t="s">
        <v>532</v>
      </c>
      <c r="B12" t="s">
        <v>548</v>
      </c>
      <c r="C12" t="s">
        <v>560</v>
      </c>
      <c r="D12">
        <f>YEAR(D13)-YEAR(TODAY())</f>
        <v>0</v>
      </c>
      <c r="E12">
        <f>SUMIF('Investments'!C6:C24,"FD",'Investments'!E6:E24)*0.40</f>
        <v>0</v>
      </c>
      <c r="F12">
        <f>E13/B13*100%</f>
        <v>0</v>
      </c>
      <c r="G12">
        <f>IF(F13&gt;=50%,"On Track","Behind")</f>
        <v>0</v>
      </c>
    </row>
    <row r="14" spans="1:7">
      <c r="A14" t="s">
        <v>533</v>
      </c>
    </row>
    <row r="15" spans="1:7">
      <c r="A15" t="s">
        <v>396</v>
      </c>
      <c r="B15" t="s">
        <v>549</v>
      </c>
      <c r="C15" t="s">
        <v>561</v>
      </c>
      <c r="D15" t="s">
        <v>564</v>
      </c>
      <c r="E15" t="s">
        <v>570</v>
      </c>
      <c r="F15" t="s">
        <v>576</v>
      </c>
    </row>
    <row r="16" spans="1:7">
      <c r="A16" t="s">
        <v>527</v>
      </c>
      <c r="B16">
        <f>B8</f>
        <v>0</v>
      </c>
      <c r="C16">
        <f>C8</f>
        <v>0</v>
      </c>
      <c r="D16">
        <f>B8/(C8*12*1.07)</f>
        <v>0</v>
      </c>
      <c r="E16" t="s">
        <v>139</v>
      </c>
      <c r="F16">
        <f>MAX(0,((B8/(C8*12*1.07))-D16))</f>
        <v>0</v>
      </c>
    </row>
    <row r="17" spans="1:6">
      <c r="A17" t="s">
        <v>528</v>
      </c>
      <c r="B17">
        <f>B9</f>
        <v>0</v>
      </c>
      <c r="C17">
        <f>C9</f>
        <v>0</v>
      </c>
      <c r="D17">
        <f>B9/(C9*12*1.07)</f>
        <v>0</v>
      </c>
      <c r="E17" t="s">
        <v>148</v>
      </c>
      <c r="F17">
        <f>MAX(0,((B9/(C9*12*1.07))-D17))</f>
        <v>0</v>
      </c>
    </row>
    <row r="18" spans="1:6">
      <c r="A18" t="s">
        <v>529</v>
      </c>
      <c r="B18">
        <f>B10</f>
        <v>0</v>
      </c>
      <c r="C18">
        <f>C10</f>
        <v>0</v>
      </c>
      <c r="D18">
        <f>B10/(C10*12*1.07)</f>
        <v>0</v>
      </c>
      <c r="E18" t="s">
        <v>571</v>
      </c>
      <c r="F18">
        <f>MAX(0,((B10/(C10*12*1.07))-D18))</f>
        <v>0</v>
      </c>
    </row>
    <row r="19" spans="1:6">
      <c r="A19" t="s">
        <v>530</v>
      </c>
      <c r="B19">
        <f>B11</f>
        <v>0</v>
      </c>
      <c r="C19">
        <f>C11</f>
        <v>0</v>
      </c>
      <c r="D19">
        <f>B11/(C11*12*1.07)</f>
        <v>0</v>
      </c>
      <c r="E19" t="s">
        <v>572</v>
      </c>
      <c r="F19">
        <f>MAX(0,((B11/(C11*12*1.07))-D19))</f>
        <v>0</v>
      </c>
    </row>
    <row r="20" spans="1:6">
      <c r="A20" t="s">
        <v>534</v>
      </c>
      <c r="B20">
        <f>B12</f>
        <v>0</v>
      </c>
      <c r="C20">
        <f>C12</f>
        <v>0</v>
      </c>
      <c r="D20">
        <f>B12/(C12*12*1.07)</f>
        <v>0</v>
      </c>
      <c r="E20" t="s">
        <v>573</v>
      </c>
      <c r="F20">
        <f>MAX(0,((B12/(C12*12*1.07))-D20))</f>
        <v>0</v>
      </c>
    </row>
    <row r="21" spans="1:6">
      <c r="A21" t="s">
        <v>532</v>
      </c>
      <c r="B21">
        <f>B13</f>
        <v>0</v>
      </c>
      <c r="C21">
        <f>C13</f>
        <v>0</v>
      </c>
      <c r="D21">
        <f>B13/(C13*12*1.07)</f>
        <v>0</v>
      </c>
      <c r="E21" t="s">
        <v>574</v>
      </c>
      <c r="F21">
        <f>MAX(0,((B13/(C13*12*1.07))-D21))</f>
        <v>0</v>
      </c>
    </row>
    <row r="23" spans="1:6">
      <c r="A23" t="s">
        <v>535</v>
      </c>
    </row>
    <row r="24" spans="1:6">
      <c r="A24" t="s">
        <v>536</v>
      </c>
      <c r="B24" t="s">
        <v>550</v>
      </c>
      <c r="C24" t="s">
        <v>562</v>
      </c>
      <c r="D24" t="s">
        <v>516</v>
      </c>
    </row>
    <row r="25" spans="1:6">
      <c r="A25" t="s">
        <v>537</v>
      </c>
      <c r="B25" t="s">
        <v>551</v>
      </c>
      <c r="C25">
        <f>IF(SUM('Investments'!E6:E24)&gt;=100000,"✓ YES","In Progress")</f>
        <v>0</v>
      </c>
      <c r="D25" t="s">
        <v>565</v>
      </c>
    </row>
    <row r="26" spans="1:6">
      <c r="A26" t="s">
        <v>538</v>
      </c>
      <c r="B26" t="s">
        <v>552</v>
      </c>
      <c r="C26">
        <f>IF(SUM('Investments'!E6:E24)&gt;=500000,"✓ YES","In Progress")</f>
        <v>0</v>
      </c>
      <c r="D26" t="s">
        <v>566</v>
      </c>
    </row>
    <row r="27" spans="1:6">
      <c r="A27" t="s">
        <v>539</v>
      </c>
      <c r="B27" t="s">
        <v>553</v>
      </c>
      <c r="C27">
        <f>IF(SUM('Investments'!E6:E24)&gt;=1000000,"✓ YES","In Progress")</f>
        <v>0</v>
      </c>
      <c r="D27" t="s">
        <v>567</v>
      </c>
    </row>
    <row r="28" spans="1:6">
      <c r="A28" t="s">
        <v>540</v>
      </c>
      <c r="B28" t="s">
        <v>551</v>
      </c>
      <c r="C28">
        <f>IF(COUNTA('Investments'!A6:A24)&gt;=10,"✓ YES","In Progress")</f>
        <v>0</v>
      </c>
      <c r="D28" t="s">
        <v>314</v>
      </c>
    </row>
    <row r="29" spans="1:6">
      <c r="A29" t="s">
        <v>541</v>
      </c>
      <c r="B29" t="s">
        <v>552</v>
      </c>
      <c r="C29">
        <f>IF(AVERAGE('Return Calculator'!B12)&gt;=20,"✓ YES","In Progress")</f>
        <v>0</v>
      </c>
      <c r="D29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Investments</vt:lpstr>
      <vt:lpstr>Return Calculator</vt:lpstr>
      <vt:lpstr>Asset Allocation</vt:lpstr>
      <vt:lpstr>Tax Strategy</vt:lpstr>
      <vt:lpstr>Goals 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2026-01-02T15:54:27Z</dcterms:created>
  <dcterms:modified xsi:type="dcterms:W3CDTF">2026-01-02T15:54:27Z</dcterms:modified>
</cp:coreProperties>
</file>