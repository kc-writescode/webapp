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olicy Tracker" sheetId="2" r:id="rId2"/>
    <sheet name="Coverage Calculator" sheetId="3" r:id="rId3"/>
    <sheet name="Renewal Alerts" sheetId="4" r:id="rId4"/>
    <sheet name="Premium Tracker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<sst xmlns="http://schemas.openxmlformats.org/spreadsheetml/2006/main" count="1191" uniqueCount="769">
  <si>
    <t>YOUR INSURANCE SUMMARY</t>
  </si>
  <si>
    <t>Category</t>
  </si>
  <si>
    <t>Health Insurance</t>
  </si>
  <si>
    <t>Term Life Insurance</t>
  </si>
  <si>
    <t>Motor Insurance</t>
  </si>
  <si>
    <t>Home Insurance</t>
  </si>
  <si>
    <t>Personal Accident</t>
  </si>
  <si>
    <t>TOTAL ANNUAL PREMIUM</t>
  </si>
  <si>
    <t>TOTAL COVERAGE</t>
  </si>
  <si>
    <t>INSURANCE COVERAGE AUDIT</t>
  </si>
  <si>
    <t>Coverage Type</t>
  </si>
  <si>
    <t>RENEWAL ALERTS</t>
  </si>
  <si>
    <t>Policy Name</t>
  </si>
  <si>
    <t>QUICK STATS</t>
  </si>
  <si>
    <t>Metric</t>
  </si>
  <si>
    <t>Total Policies Active</t>
  </si>
  <si>
    <t>Average Annual Premium</t>
  </si>
  <si>
    <t>Expiring Within 30 Days</t>
  </si>
  <si>
    <t>Expiring Within 90 Days</t>
  </si>
  <si>
    <t>Total Coverage Amount</t>
  </si>
  <si>
    <t>Total Premium (Yearly)</t>
  </si>
  <si>
    <t>KEY RECOMMENDATIONS</t>
  </si>
  <si>
    <t>Priority</t>
  </si>
  <si>
    <t>HIGH</t>
  </si>
  <si>
    <t>MEDIUM</t>
  </si>
  <si>
    <t>LOW</t>
  </si>
  <si>
    <t>Coverage Amount (₹)</t>
  </si>
  <si>
    <t>₹</t>
  </si>
  <si>
    <t>Required Amount (₹)</t>
  </si>
  <si>
    <t>500000</t>
  </si>
  <si>
    <t>7500000</t>
  </si>
  <si>
    <t>2000000</t>
  </si>
  <si>
    <t>3000000</t>
  </si>
  <si>
    <t>Renewal Date</t>
  </si>
  <si>
    <t>Value</t>
  </si>
  <si>
    <t>Recommendation</t>
  </si>
  <si>
    <t>Increase health insurance to ₹10L</t>
  </si>
  <si>
    <t>Buy term life insurance if missing</t>
  </si>
  <si>
    <t>Optimize motor insurance coverage</t>
  </si>
  <si>
    <t>Review home insurance annually</t>
  </si>
  <si>
    <t>Consider personal accident rider</t>
  </si>
  <si>
    <t>Annual Premium (₹)</t>
  </si>
  <si>
    <t>Current Coverage (₹)</t>
  </si>
  <si>
    <t>Days Until Renewal</t>
  </si>
  <si>
    <t>Status</t>
  </si>
  <si>
    <t>Active</t>
  </si>
  <si>
    <t>Action Required</t>
  </si>
  <si>
    <t>Planning Required</t>
  </si>
  <si>
    <t>Expected Benefit</t>
  </si>
  <si>
    <t>Better medical coverage, fewer out-of-pocket expenses</t>
  </si>
  <si>
    <t>Family financial security (10x annual income)</t>
  </si>
  <si>
    <t>Better claim settlement, NCB benefits</t>
  </si>
  <si>
    <t>Keep pace with property value appreciation</t>
  </si>
  <si>
    <t>Additional ₹25L coverage</t>
  </si>
  <si>
    <t>Coverage Gap (₹)</t>
  </si>
  <si>
    <t>Current Premium</t>
  </si>
  <si>
    <t>Insight</t>
  </si>
  <si>
    <t>Number of active insurance policies</t>
  </si>
  <si>
    <t>Your average premium cost per policy</t>
  </si>
  <si>
    <t>Policies needing immediate renewal</t>
  </si>
  <si>
    <t>Policies to renew soon</t>
  </si>
  <si>
    <t>Complete protection across all policies</t>
  </si>
  <si>
    <t>Annual insurance investment</t>
  </si>
  <si>
    <t>Timeline</t>
  </si>
  <si>
    <t>Immediate</t>
  </si>
  <si>
    <t>Within 30 days</t>
  </si>
  <si>
    <t>Yearly</t>
  </si>
  <si>
    <t>Within 90 days</t>
  </si>
  <si>
    <t>Action Needed</t>
  </si>
  <si>
    <t>Estimated Cost</t>
  </si>
  <si>
    <t>₹8,000-12,000/year</t>
  </si>
  <si>
    <t>₹500-1,500/month</t>
  </si>
  <si>
    <t>Varied</t>
  </si>
  <si>
    <t>₹2,000-5,000/year</t>
  </si>
  <si>
    <t>₹500-1,000/year</t>
  </si>
  <si>
    <t>Action</t>
  </si>
  <si>
    <t>Review coverage</t>
  </si>
  <si>
    <t>Update sum assured</t>
  </si>
  <si>
    <t>Check NCB</t>
  </si>
  <si>
    <t>Increase coverage</t>
  </si>
  <si>
    <t>Review limits</t>
  </si>
  <si>
    <t>INSURANCE NEEDS ANALYZER - COMPREHENSIVE AUDIT DASHBOARD</t>
  </si>
  <si>
    <t>Add all your insurance policies below. Track coverage, premiums, and renewal dates.</t>
  </si>
  <si>
    <t>HEALTH INSURANCE POLICIES</t>
  </si>
  <si>
    <t>Family Health Plan</t>
  </si>
  <si>
    <t>ICICI Individual Health</t>
  </si>
  <si>
    <t>Star Health Senior Plan</t>
  </si>
  <si>
    <t>Aditya Birla Health</t>
  </si>
  <si>
    <t>Apollo Health Advance</t>
  </si>
  <si>
    <t>TERM LIFE INSURANCE POLICIES</t>
  </si>
  <si>
    <t>HDFC Life Term Plan</t>
  </si>
  <si>
    <t>SBI Life Term Plan</t>
  </si>
  <si>
    <t>LIC Term Plan 2026</t>
  </si>
  <si>
    <t>Bajaj Allianz Term</t>
  </si>
  <si>
    <t>Max Life Term Plan</t>
  </si>
  <si>
    <t>MOTOR INSURANCE POLICIES</t>
  </si>
  <si>
    <t>Vehicle Name</t>
  </si>
  <si>
    <t>Honda City (2022)</t>
  </si>
  <si>
    <t>Toyota Fortuner (2020)</t>
  </si>
  <si>
    <t>Maruti Swift (2018)</t>
  </si>
  <si>
    <t>Scooty (2019)</t>
  </si>
  <si>
    <t>Activa (2021)</t>
  </si>
  <si>
    <t>HOME INSURANCE POLICIES</t>
  </si>
  <si>
    <t>Home &amp; Building Insurance</t>
  </si>
  <si>
    <t>Apartment/Flat Coverage</t>
  </si>
  <si>
    <t>Landlord Insurance</t>
  </si>
  <si>
    <t>Contents Insurance</t>
  </si>
  <si>
    <t>Commercial Property Coverage</t>
  </si>
  <si>
    <t>PERSONAL ACCIDENT POLICIES</t>
  </si>
  <si>
    <t>Individual PA Insurance</t>
  </si>
  <si>
    <t>Family PA Plan</t>
  </si>
  <si>
    <t>Professional PA Rider</t>
  </si>
  <si>
    <t>Sports/Adventure PA</t>
  </si>
  <si>
    <t>Student Travel PA</t>
  </si>
  <si>
    <t>POLICY SUMMARY</t>
  </si>
  <si>
    <t>Total Annual Premium</t>
  </si>
  <si>
    <t>Insurer Name</t>
  </si>
  <si>
    <t>HDFC ERGO</t>
  </si>
  <si>
    <t>ICICI Lombard</t>
  </si>
  <si>
    <t>Star Health</t>
  </si>
  <si>
    <t>Aditya Birla Insurance</t>
  </si>
  <si>
    <t>Apollo Insurance</t>
  </si>
  <si>
    <t>HDFC Life</t>
  </si>
  <si>
    <t>SBI Life</t>
  </si>
  <si>
    <t>LIC</t>
  </si>
  <si>
    <t>Bajaj Allianz</t>
  </si>
  <si>
    <t>Max Life</t>
  </si>
  <si>
    <t>National Insurance</t>
  </si>
  <si>
    <t>Royal Sundaram</t>
  </si>
  <si>
    <t>New India</t>
  </si>
  <si>
    <t>Oriental Insurance</t>
  </si>
  <si>
    <t>Policy Number</t>
  </si>
  <si>
    <t>POL-2023-HLT-001</t>
  </si>
  <si>
    <t>POL-2024-HLT-002</t>
  </si>
  <si>
    <t>POL-2023-HLT-003</t>
  </si>
  <si>
    <t>POL-2024-HLT-004</t>
  </si>
  <si>
    <t>POL-2023-HLT-005</t>
  </si>
  <si>
    <t>POL-2023-TRM-001</t>
  </si>
  <si>
    <t>POL-2024-TRM-002</t>
  </si>
  <si>
    <t>POL-2023-TRM-003</t>
  </si>
  <si>
    <t>POL-2024-TRM-004</t>
  </si>
  <si>
    <t>POL-2023-TRM-005</t>
  </si>
  <si>
    <t>POL-2023-MTR-001</t>
  </si>
  <si>
    <t>POL-2023-MTR-002</t>
  </si>
  <si>
    <t>POL-2024-MTR-003</t>
  </si>
  <si>
    <t>POL-2024-MTR-004</t>
  </si>
  <si>
    <t>POL-2023-MTR-005</t>
  </si>
  <si>
    <t>POL-2023-HOM-001</t>
  </si>
  <si>
    <t>POL-2024-HOM-002</t>
  </si>
  <si>
    <t>POL-2023-HOM-003</t>
  </si>
  <si>
    <t>POL-2024-HOM-004</t>
  </si>
  <si>
    <t>POL-2023-HOM-005</t>
  </si>
  <si>
    <t>POL-2024-PAC-001</t>
  </si>
  <si>
    <t>POL-2023-PAC-002</t>
  </si>
  <si>
    <t>POL-2024-PAC-003</t>
  </si>
  <si>
    <t>POL-2023-PAC-004</t>
  </si>
  <si>
    <t>POL-2024-PAC-005</t>
  </si>
  <si>
    <t>750000</t>
  </si>
  <si>
    <t>300000</t>
  </si>
  <si>
    <t>600000</t>
  </si>
  <si>
    <t>400000</t>
  </si>
  <si>
    <t>Sum Assured (₹)</t>
  </si>
  <si>
    <t>1000000</t>
  </si>
  <si>
    <t>1500000</t>
  </si>
  <si>
    <t>1200000</t>
  </si>
  <si>
    <t>1800000</t>
  </si>
  <si>
    <t>Registration Number</t>
  </si>
  <si>
    <t>AP-05-XY-1234</t>
  </si>
  <si>
    <t>AP-05-XY-5678</t>
  </si>
  <si>
    <t>AP-05-XY-9012</t>
  </si>
  <si>
    <t>AP-05-XY-3456</t>
  </si>
  <si>
    <t>AP-05-XY-7890</t>
  </si>
  <si>
    <t>Property Value (₹)</t>
  </si>
  <si>
    <t>5000000</t>
  </si>
  <si>
    <t>4000000</t>
  </si>
  <si>
    <t>250000</t>
  </si>
  <si>
    <t>150000</t>
  </si>
  <si>
    <t>200000</t>
  </si>
  <si>
    <t>15000</t>
  </si>
  <si>
    <t>18000</t>
  </si>
  <si>
    <t>8000</t>
  </si>
  <si>
    <t>16000</t>
  </si>
  <si>
    <t>12000</t>
  </si>
  <si>
    <t>8500</t>
  </si>
  <si>
    <t>10500</t>
  </si>
  <si>
    <t>14000</t>
  </si>
  <si>
    <t>9500</t>
  </si>
  <si>
    <t>800000</t>
  </si>
  <si>
    <t>350000</t>
  </si>
  <si>
    <t>3500000</t>
  </si>
  <si>
    <t>2500000</t>
  </si>
  <si>
    <t>2500</t>
  </si>
  <si>
    <t>3000</t>
  </si>
  <si>
    <t>5000</t>
  </si>
  <si>
    <t>1500</t>
  </si>
  <si>
    <t>1200</t>
  </si>
  <si>
    <t>Renewal Date (DD-MM-YYYY)</t>
  </si>
  <si>
    <t>2026-03-15</t>
  </si>
  <si>
    <t>2026-05-20</t>
  </si>
  <si>
    <t>2026-02-28</t>
  </si>
  <si>
    <t>2026-04-10</t>
  </si>
  <si>
    <t>2026-01-30</t>
  </si>
  <si>
    <t>Maturity Date (DD-MM-YYYY)</t>
  </si>
  <si>
    <t>2043-01-15</t>
  </si>
  <si>
    <t>2044-06-20</t>
  </si>
  <si>
    <t>2043-12-05</t>
  </si>
  <si>
    <t>2044-03-10</t>
  </si>
  <si>
    <t>2043-08-22</t>
  </si>
  <si>
    <t>6500</t>
  </si>
  <si>
    <t>2200</t>
  </si>
  <si>
    <t>10000</t>
  </si>
  <si>
    <t>2026-02-15</t>
  </si>
  <si>
    <t>2026-04-20</t>
  </si>
  <si>
    <t>2026-07-10</t>
  </si>
  <si>
    <t>2026-05-05</t>
  </si>
  <si>
    <t>2026-06-30</t>
  </si>
  <si>
    <t>2026-06-15</t>
  </si>
  <si>
    <t>2026-07-20</t>
  </si>
  <si>
    <t>2026-03-10</t>
  </si>
  <si>
    <t>2026-05-15</t>
  </si>
  <si>
    <t>2026-08-15</t>
  </si>
  <si>
    <t>2026-09-10</t>
  </si>
  <si>
    <t>2026-06-05</t>
  </si>
  <si>
    <t>2026-03-30</t>
  </si>
  <si>
    <t>Type</t>
  </si>
  <si>
    <t>Comprehensive</t>
  </si>
  <si>
    <t>Senior Citizen</t>
  </si>
  <si>
    <t>Coverage Duration</t>
  </si>
  <si>
    <t>20 years</t>
  </si>
  <si>
    <t>Individual</t>
  </si>
  <si>
    <t>Family</t>
  </si>
  <si>
    <t>Professional</t>
  </si>
  <si>
    <t>Sports</t>
  </si>
  <si>
    <t>Travel</t>
  </si>
  <si>
    <t>Sum Insured Status</t>
  </si>
  <si>
    <t>Rider Coverage</t>
  </si>
  <si>
    <t>Accidental Rider</t>
  </si>
  <si>
    <t>Critical Illness</t>
  </si>
  <si>
    <t>Waiver of Premium</t>
  </si>
  <si>
    <t>Critical Illness + Accidental</t>
  </si>
  <si>
    <t>Policy Type</t>
  </si>
  <si>
    <t>Standard</t>
  </si>
  <si>
    <t>Death Benefit</t>
  </si>
  <si>
    <t>Claim History</t>
  </si>
  <si>
    <t>0 claims</t>
  </si>
  <si>
    <t>1 claim</t>
  </si>
  <si>
    <t>2 claims</t>
  </si>
  <si>
    <t>NCB %</t>
  </si>
  <si>
    <t>20%</t>
  </si>
  <si>
    <t>35%</t>
  </si>
  <si>
    <t>50%</t>
  </si>
  <si>
    <t>45%</t>
  </si>
  <si>
    <t>25%</t>
  </si>
  <si>
    <t>Disability Benefit</t>
  </si>
  <si>
    <t>₹500/day</t>
  </si>
  <si>
    <t>₹600/day</t>
  </si>
  <si>
    <t>₹1000/day</t>
  </si>
  <si>
    <t>₹300/day</t>
  </si>
  <si>
    <t>₹400/day</t>
  </si>
  <si>
    <t>INSURANCE POLICY TRACKER - MANAGE ALL YOUR POLICIES</t>
  </si>
  <si>
    <t>Calculate the right insurance coverage based on your age, income, and financial obligations.</t>
  </si>
  <si>
    <t>HEALTH INSURANCE CALCULATOR</t>
  </si>
  <si>
    <t>Factor</t>
  </si>
  <si>
    <t>Annual Income</t>
  </si>
  <si>
    <t>Family Members</t>
  </si>
  <si>
    <t>Age (Youngest)</t>
  </si>
  <si>
    <t>Age (Oldest)</t>
  </si>
  <si>
    <t>HEALTH INSURANCE CALCULATION</t>
  </si>
  <si>
    <t>Requirement Type</t>
  </si>
  <si>
    <t>Individual Adult</t>
  </si>
  <si>
    <t>Family Coverage</t>
  </si>
  <si>
    <t>Critical Illness Rider</t>
  </si>
  <si>
    <t>Accidental Coverage</t>
  </si>
  <si>
    <t>Recommended Total</t>
  </si>
  <si>
    <t>TERM LIFE INSURANCE CALCULATOR</t>
  </si>
  <si>
    <t>Number of Dependents</t>
  </si>
  <si>
    <t>Home Loan Outstanding</t>
  </si>
  <si>
    <t>Education Loan</t>
  </si>
  <si>
    <t>Other Liabilities</t>
  </si>
  <si>
    <t>Spouse Income</t>
  </si>
  <si>
    <t>Years to Retirement</t>
  </si>
  <si>
    <t>TERM LIFE CALCULATION</t>
  </si>
  <si>
    <t>Calculation Method</t>
  </si>
  <si>
    <t>10x Income Rule</t>
  </si>
  <si>
    <t>Human Life Value</t>
  </si>
  <si>
    <t>Income Replacement (20 years)</t>
  </si>
  <si>
    <t>Max Recommended</t>
  </si>
  <si>
    <t>Your Current Coverage</t>
  </si>
  <si>
    <t>Coverage Gap</t>
  </si>
  <si>
    <t>Recommended Action</t>
  </si>
  <si>
    <t>MOTOR INSURANCE CALCULATOR</t>
  </si>
  <si>
    <t>Vehicle 1 Value</t>
  </si>
  <si>
    <t>Vehicle 2 Value</t>
  </si>
  <si>
    <t>Annual Mileage</t>
  </si>
  <si>
    <t>Driving History (Years)</t>
  </si>
  <si>
    <t>Claims in Last 3 Years</t>
  </si>
  <si>
    <t>MOTOR INSURANCE CALCULATION</t>
  </si>
  <si>
    <t>Component</t>
  </si>
  <si>
    <t>Own Damage Premium</t>
  </si>
  <si>
    <t>Third Party Premium</t>
  </si>
  <si>
    <t>Total Base Premium</t>
  </si>
  <si>
    <t>No Claim Bonus (NCB)</t>
  </si>
  <si>
    <t>Add-ons (Optional)</t>
  </si>
  <si>
    <t>Final Annual Premium</t>
  </si>
  <si>
    <t>HOME INSURANCE CALCULATOR</t>
  </si>
  <si>
    <t>Property Estimated Value</t>
  </si>
  <si>
    <t>Building Cost</t>
  </si>
  <si>
    <t>Contents Value</t>
  </si>
  <si>
    <t>Location Type</t>
  </si>
  <si>
    <t>Age of Building</t>
  </si>
  <si>
    <t>HOME INSURANCE CALCULATION</t>
  </si>
  <si>
    <t>Building Coverage</t>
  </si>
  <si>
    <t>Contents Coverage</t>
  </si>
  <si>
    <t>Liability Coverage</t>
  </si>
  <si>
    <t>Burglary Coverage</t>
  </si>
  <si>
    <t>Total Recommended</t>
  </si>
  <si>
    <t>Annual Premium (approx)</t>
  </si>
  <si>
    <t>PERSONAL ACCIDENT CALCULATOR</t>
  </si>
  <si>
    <t>Monthly Income</t>
  </si>
  <si>
    <t>Age</t>
  </si>
  <si>
    <t>Occupation Risk</t>
  </si>
  <si>
    <t>Sports/Adventure Activities</t>
  </si>
  <si>
    <t>Daily Hospital Allowance Needed</t>
  </si>
  <si>
    <t>PERSONAL ACCIDENT CALCULATION</t>
  </si>
  <si>
    <t>Permanent Disability</t>
  </si>
  <si>
    <t>Temporary Disability</t>
  </si>
  <si>
    <t>Medical Reimbursement</t>
  </si>
  <si>
    <t>Recommended Total Coverage</t>
  </si>
  <si>
    <t>Your Value</t>
  </si>
  <si>
    <t>₹1500000</t>
  </si>
  <si>
    <t>4</t>
  </si>
  <si>
    <t>2</t>
  </si>
  <si>
    <t>65</t>
  </si>
  <si>
    <t>Formula</t>
  </si>
  <si>
    <t>Age*10000 + 50000</t>
  </si>
  <si>
    <t>No. of members * 5-10L</t>
  </si>
  <si>
    <t>1/5 of base coverage</t>
  </si>
  <si>
    <t>1/2 of base coverage</t>
  </si>
  <si>
    <t>Sum of above needs</t>
  </si>
  <si>
    <t>₹2000000</t>
  </si>
  <si>
    <t>₹500000</t>
  </si>
  <si>
    <t>₹300000</t>
  </si>
  <si>
    <t>₹800000</t>
  </si>
  <si>
    <t>25</t>
  </si>
  <si>
    <t>Annual Income * 10</t>
  </si>
  <si>
    <t>(Income * Years) - Liabilities</t>
  </si>
  <si>
    <t>(Income * 20) - Liabilities</t>
  </si>
  <si>
    <t>Whichever is highest</t>
  </si>
  <si>
    <t>₹6500000</t>
  </si>
  <si>
    <t>5</t>
  </si>
  <si>
    <t>0</t>
  </si>
  <si>
    <t>Vehicle Value * 3-4%</t>
  </si>
  <si>
    <t>Fixed based on vehicle type</t>
  </si>
  <si>
    <t>Own Damage + Third Party</t>
  </si>
  <si>
    <t>20% of base (or more)</t>
  </si>
  <si>
    <t>Zero Dep, Roadside Assist</t>
  </si>
  <si>
    <t>Sum with all factors</t>
  </si>
  <si>
    <t>₹5000000</t>
  </si>
  <si>
    <t>₹3500000</t>
  </si>
  <si>
    <t>Urban</t>
  </si>
  <si>
    <t>8</t>
  </si>
  <si>
    <t>Current Replacement Cost</t>
  </si>
  <si>
    <t>Estimated value of items</t>
  </si>
  <si>
    <t>Min ₹10-25L recommended</t>
  </si>
  <si>
    <t>For valuables</t>
  </si>
  <si>
    <t>Sum of all coverage</t>
  </si>
  <si>
    <t>0.04-0.06% of coverage</t>
  </si>
  <si>
    <t>₹125000</t>
  </si>
  <si>
    <t>35</t>
  </si>
  <si>
    <t>Low Risk</t>
  </si>
  <si>
    <t>Yes</t>
  </si>
  <si>
    <t>₹2000</t>
  </si>
  <si>
    <t>5-10x monthly income</t>
  </si>
  <si>
    <t>50-75% of death benefit</t>
  </si>
  <si>
    <t>₹2,000-5,000 per day</t>
  </si>
  <si>
    <t>₹2-5 lakhs</t>
  </si>
  <si>
    <t>Complete protection</t>
  </si>
  <si>
    <t>₹1250000</t>
  </si>
  <si>
    <t>Calculation</t>
  </si>
  <si>
    <t>Your gross annual income</t>
  </si>
  <si>
    <t>No. of dependents</t>
  </si>
  <si>
    <t>Age of youngest member</t>
  </si>
  <si>
    <t>Age of oldest member</t>
  </si>
  <si>
    <t>Recommended Amount (₹)</t>
  </si>
  <si>
    <t>People dependent on you</t>
  </si>
  <si>
    <t>Remaining home loan balance</t>
  </si>
  <si>
    <t>Remaining education loan</t>
  </si>
  <si>
    <t>Other personal debts</t>
  </si>
  <si>
    <t>Spouse's annual income</t>
  </si>
  <si>
    <t>Estimated retirement age</t>
  </si>
  <si>
    <t>From policy tracker</t>
  </si>
  <si>
    <t>Need to purchase</t>
  </si>
  <si>
    <t>Current market value</t>
  </si>
  <si>
    <t>Km driven per year</t>
  </si>
  <si>
    <t>Years of driving experience</t>
  </si>
  <si>
    <t>Number of claims made</t>
  </si>
  <si>
    <t>Recommended (₹)</t>
  </si>
  <si>
    <t>Total property value</t>
  </si>
  <si>
    <t>Structure cost</t>
  </si>
  <si>
    <t>Furniture, appliances, etc.</t>
  </si>
  <si>
    <t>City or rural area</t>
  </si>
  <si>
    <t>Years since construction</t>
  </si>
  <si>
    <t>Your monthly earnings</t>
  </si>
  <si>
    <t>People depending on income</t>
  </si>
  <si>
    <t>Your current age</t>
  </si>
  <si>
    <t>Office-based or high-risk</t>
  </si>
  <si>
    <t>Engage in risky activities</t>
  </si>
  <si>
    <t>Per day hospitalization cost</t>
  </si>
  <si>
    <t>Additional coverage needed</t>
  </si>
  <si>
    <t>Result</t>
  </si>
  <si>
    <t>Your Coverage (₹)</t>
  </si>
  <si>
    <t>Notes</t>
  </si>
  <si>
    <t>Conservative approach</t>
  </si>
  <si>
    <t>Adjusted for loans</t>
  </si>
  <si>
    <t>Family financial security</t>
  </si>
  <si>
    <t>Safe coverage limit</t>
  </si>
  <si>
    <t>Your Premium (₹)</t>
  </si>
  <si>
    <t>Family financial support</t>
  </si>
  <si>
    <t>Partial income replacement</t>
  </si>
  <si>
    <t>Daily hospital allowance</t>
  </si>
  <si>
    <t>Emergency medical expenses</t>
  </si>
  <si>
    <t>Comprehensive cover</t>
  </si>
  <si>
    <t>Enter your annual income</t>
  </si>
  <si>
    <t>Include all family members</t>
  </si>
  <si>
    <t>For rider calculation</t>
  </si>
  <si>
    <t>May affect premium</t>
  </si>
  <si>
    <t>Gap (₹)</t>
  </si>
  <si>
    <t>Must be paid off</t>
  </si>
  <si>
    <t>Add if available</t>
  </si>
  <si>
    <t>Base premium</t>
  </si>
  <si>
    <t>Mandatory</t>
  </si>
  <si>
    <t>Before NCB</t>
  </si>
  <si>
    <t>Deduction</t>
  </si>
  <si>
    <t>Additional features</t>
  </si>
  <si>
    <t>Total you pay</t>
  </si>
  <si>
    <t>Building + contents</t>
  </si>
  <si>
    <t>Affects premium</t>
  </si>
  <si>
    <t>Optional</t>
  </si>
  <si>
    <t>Annual renewal</t>
  </si>
  <si>
    <t>Example estimate</t>
  </si>
  <si>
    <t>INSURANCE COVERAGE CALCULATOR - DETERMINE YOUR NEEDS</t>
  </si>
  <si>
    <t>Stay on top of your policy renewals with automated reminders and tracking.</t>
  </si>
  <si>
    <t>RENEWAL SCHEDULE (NEXT 12 MONTHS)</t>
  </si>
  <si>
    <t>Month</t>
  </si>
  <si>
    <t>January 2026</t>
  </si>
  <si>
    <t>February 2026</t>
  </si>
  <si>
    <t>March 2026</t>
  </si>
  <si>
    <t>April 2026</t>
  </si>
  <si>
    <t>May 2026</t>
  </si>
  <si>
    <t>June 2026</t>
  </si>
  <si>
    <t>URGENT RENEWALS (NEXT 30 DAYS)</t>
  </si>
  <si>
    <t>RENEWAL PLANNING (30-90 DAYS)</t>
  </si>
  <si>
    <t>Scooty Motor Insurance</t>
  </si>
  <si>
    <t>Honda City Motor Insurance</t>
  </si>
  <si>
    <t>Commercial Property</t>
  </si>
  <si>
    <t>RENEWAL REMINDERS CHECKLIST</t>
  </si>
  <si>
    <t>Policy</t>
  </si>
  <si>
    <t>RENEWAL COST TRACKER</t>
  </si>
  <si>
    <t>Health Insurance (Family)</t>
  </si>
  <si>
    <t>Motor Insurance - Car 1</t>
  </si>
  <si>
    <t>TOTAL EXPECTED ANNUAL</t>
  </si>
  <si>
    <t>ANNUAL RENEWAL CALENDAR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</si>
  <si>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</si>
  <si>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</si>
  <si>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</si>
  <si>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</si>
  <si>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</si>
  <si>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</si>
  <si>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</si>
  <si>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</si>
  <si>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RENEWAL NEGOTIATION TIPS</t>
  </si>
  <si>
    <t>Strategy</t>
  </si>
  <si>
    <t>No Claim Bonus</t>
  </si>
  <si>
    <t>Multi-policy Discount</t>
  </si>
  <si>
    <t>Online Discount</t>
  </si>
  <si>
    <t>Competitive Switching</t>
  </si>
  <si>
    <t>Annual vs Quarterly</t>
  </si>
  <si>
    <t>Loyalty Retention</t>
  </si>
  <si>
    <t>Activa Motor Insurance</t>
  </si>
  <si>
    <t>Insurance Type</t>
  </si>
  <si>
    <t>30-Day Prior</t>
  </si>
  <si>
    <t>Compare quotes &amp; plans</t>
  </si>
  <si>
    <t>Review coverage needs</t>
  </si>
  <si>
    <t>Get no claim bonus cert</t>
  </si>
  <si>
    <t>Review property value</t>
  </si>
  <si>
    <t>Assess risk changes</t>
  </si>
  <si>
    <t>Current Premium (₹)</t>
  </si>
  <si>
    <t>Policy to Renew</t>
  </si>
  <si>
    <t>Apollo Health, Sports PA</t>
  </si>
  <si>
    <t>Star Health, Individual PA, Scooty</t>
  </si>
  <si>
    <t>Family Health, Honda City, Comm Prop</t>
  </si>
  <si>
    <t>ICICI Health, Aditya Birla, Apt Flat</t>
  </si>
  <si>
    <t>Professional PA, Activa, Contents</t>
  </si>
  <si>
    <t>Home Building, Toyota Fortuner</t>
  </si>
  <si>
    <t>Maruti Swift</t>
  </si>
  <si>
    <t>Approach</t>
  </si>
  <si>
    <t>Claim higher NCB on motor policies</t>
  </si>
  <si>
    <t>Bundle health, motor, home policies</t>
  </si>
  <si>
    <t>Renew policies online instead of agent</t>
  </si>
  <si>
    <t>Switch to cheaper insurer if better</t>
  </si>
  <si>
    <t>Pay annually instead of quarterly</t>
  </si>
  <si>
    <t>Ask insurer for retention discount</t>
  </si>
  <si>
    <t>Health</t>
  </si>
  <si>
    <t>Motor</t>
  </si>
  <si>
    <t>Home</t>
  </si>
  <si>
    <t>15-Day Prior</t>
  </si>
  <si>
    <t>Final decision &amp; approval</t>
  </si>
  <si>
    <t>Check for riders needed</t>
  </si>
  <si>
    <t>Compare quotes online</t>
  </si>
  <si>
    <t>Check claim history</t>
  </si>
  <si>
    <t>Compare options</t>
  </si>
  <si>
    <t>Expected Increase</t>
  </si>
  <si>
    <t>5-10%</t>
  </si>
  <si>
    <t>2-3%</t>
  </si>
  <si>
    <t>8-15%</t>
  </si>
  <si>
    <t>3-5%</t>
  </si>
  <si>
    <t>Average: 6%</t>
  </si>
  <si>
    <t>Preparation (Start Date)</t>
  </si>
  <si>
    <t>2025-12-20</t>
  </si>
  <si>
    <t>2026-01-10</t>
  </si>
  <si>
    <t>2026-02-10</t>
  </si>
  <si>
    <t>2026-04-15</t>
  </si>
  <si>
    <t>2026-06-20</t>
  </si>
  <si>
    <t>Expected Savings</t>
  </si>
  <si>
    <t>₹3,000-8,000/year</t>
  </si>
  <si>
    <t>₹500-2,000/year</t>
  </si>
  <si>
    <t>₹5,000-15,000/year</t>
  </si>
  <si>
    <t>5-10% discount</t>
  </si>
  <si>
    <t>Days Left</t>
  </si>
  <si>
    <t>28</t>
  </si>
  <si>
    <t>57</t>
  </si>
  <si>
    <t>44</t>
  </si>
  <si>
    <t>72</t>
  </si>
  <si>
    <t>67</t>
  </si>
  <si>
    <t>87</t>
  </si>
  <si>
    <t>7-Day Prior</t>
  </si>
  <si>
    <t>Payment arrangement</t>
  </si>
  <si>
    <t>Final decision</t>
  </si>
  <si>
    <t>Arrange vehicle docs</t>
  </si>
  <si>
    <t>New Premium (₹)</t>
  </si>
  <si>
    <t>Review Period</t>
  </si>
  <si>
    <t>2025-12-20 to 2026-01-15</t>
  </si>
  <si>
    <t>2026-01-10 to 2026-02-10</t>
  </si>
  <si>
    <t>2026-02-10 to 2026-03-05</t>
  </si>
  <si>
    <t>2026-03-15 to 2026-04-10</t>
  </si>
  <si>
    <t>2026-04-15 to 2026-05-10</t>
  </si>
  <si>
    <t>2026-05-20 to 2026-06-15</t>
  </si>
  <si>
    <t>2026-06-20 to 2026-07-10</t>
  </si>
  <si>
    <t>When to Use</t>
  </si>
  <si>
    <t>Motor renewal</t>
  </si>
  <si>
    <t>All renewals</t>
  </si>
  <si>
    <t>All policies</t>
  </si>
  <si>
    <t>When rates jump</t>
  </si>
  <si>
    <t>If cash flow allows</t>
  </si>
  <si>
    <t>Long-term customers</t>
  </si>
  <si>
    <t>108</t>
  </si>
  <si>
    <t>98</t>
  </si>
  <si>
    <t>155</t>
  </si>
  <si>
    <t>133</t>
  </si>
  <si>
    <t>123</t>
  </si>
  <si>
    <t>164</t>
  </si>
  <si>
    <t>225</t>
  </si>
  <si>
    <t>Day Of</t>
  </si>
  <si>
    <t>Complete payment</t>
  </si>
  <si>
    <t>Savings Opportunity (₹)</t>
  </si>
  <si>
    <t>Compare 2-3 quotes</t>
  </si>
  <si>
    <t>Loyalty benefit available</t>
  </si>
  <si>
    <t>Claim higher NCB</t>
  </si>
  <si>
    <t>Bundle discount possible</t>
  </si>
  <si>
    <t>Auto-renewal discount</t>
  </si>
  <si>
    <t>Final Decision Date</t>
  </si>
  <si>
    <t>2026-01-20</t>
  </si>
  <si>
    <t>2026-06-25</t>
  </si>
  <si>
    <t>2026-07-15</t>
  </si>
  <si>
    <t>Success Rate</t>
  </si>
  <si>
    <t>90%</t>
  </si>
  <si>
    <t>85%</t>
  </si>
  <si>
    <t>95%</t>
  </si>
  <si>
    <t>70%</t>
  </si>
  <si>
    <t>100%</t>
  </si>
  <si>
    <t>65%</t>
  </si>
  <si>
    <t>Renew immediately</t>
  </si>
  <si>
    <t>Review Points</t>
  </si>
  <si>
    <t>Review coverage &amp; claims</t>
  </si>
  <si>
    <t>Check disability limits</t>
  </si>
  <si>
    <t>NCB (45%) can be increased</t>
  </si>
  <si>
    <t>Update beneficiaries</t>
  </si>
  <si>
    <t>Claim 20% NCB</t>
  </si>
  <si>
    <t>Property appreciation value</t>
  </si>
  <si>
    <t>After Renewal</t>
  </si>
  <si>
    <t>Update records</t>
  </si>
  <si>
    <t>Store policy</t>
  </si>
  <si>
    <t>Update with RTO</t>
  </si>
  <si>
    <t>Update beneficiary</t>
  </si>
  <si>
    <t>Update coverage</t>
  </si>
  <si>
    <t>Switch if better</t>
  </si>
  <si>
    <t>Negotiate with insurer</t>
  </si>
  <si>
    <t>Switch insurer</t>
  </si>
  <si>
    <t>Review add-ons</t>
  </si>
  <si>
    <t>Renew online</t>
  </si>
  <si>
    <t>Save ₹2,000-5,000</t>
  </si>
  <si>
    <t>Payment Date</t>
  </si>
  <si>
    <t>Action Status</t>
  </si>
  <si>
    <t>❗ URGENT</t>
  </si>
  <si>
    <t>⚠️ Review Soon</t>
  </si>
  <si>
    <t>Plan renewal</t>
  </si>
  <si>
    <t>Early planning</t>
  </si>
  <si>
    <t>Plan ahead</t>
  </si>
  <si>
    <t>CRITICAL</t>
  </si>
  <si>
    <t>Task</t>
  </si>
  <si>
    <t>Compare quotes</t>
  </si>
  <si>
    <t>Renew early</t>
  </si>
  <si>
    <t>Claim NCB</t>
  </si>
  <si>
    <t>Add riders</t>
  </si>
  <si>
    <t>INSURANCE RENEWAL ALERTS &amp; REMINDERS</t>
  </si>
  <si>
    <t>Track all insurance premiums, plan quarterly budgets, and identify savings opportunities.</t>
  </si>
  <si>
    <t>ANNUAL PREMIUM SUMMARY</t>
  </si>
  <si>
    <t>TOTAL ANNUAL</t>
  </si>
  <si>
    <t>QUARTERLY PREMIUM BREAKDOWN</t>
  </si>
  <si>
    <t>Quarter</t>
  </si>
  <si>
    <t>Q1 (Jan-Mar)</t>
  </si>
  <si>
    <t>Q2 (Apr-Jun)</t>
  </si>
  <si>
    <t>Q3 (Jul-Sep)</t>
  </si>
  <si>
    <t>Q4 (Oct-Dec)</t>
  </si>
  <si>
    <t>Annual Total</t>
  </si>
  <si>
    <t>MONTHLY BUDGET ALLOCATION</t>
  </si>
  <si>
    <t>September</t>
  </si>
  <si>
    <t>October</t>
  </si>
  <si>
    <t>November</t>
  </si>
  <si>
    <t>December</t>
  </si>
  <si>
    <t>Total</t>
  </si>
  <si>
    <t>PREMIUM YEAR-ON-YEAR COMPARISON</t>
  </si>
  <si>
    <t>SAVINGS OPPORTUNITIES</t>
  </si>
  <si>
    <t>Opportunity</t>
  </si>
  <si>
    <t>Switch Motor Insurer</t>
  </si>
  <si>
    <t>Health Plan Optimization</t>
  </si>
  <si>
    <t>Annual Payment (vs Quarterly)</t>
  </si>
  <si>
    <t>Online Renewal Discount</t>
  </si>
  <si>
    <t>Total Potential Savings</t>
  </si>
  <si>
    <t>PREMIUM GROWTH ANALYSIS</t>
  </si>
  <si>
    <t>Health Insurance Premium</t>
  </si>
  <si>
    <t>Term Life Premium</t>
  </si>
  <si>
    <t>Motor Insurance Premium</t>
  </si>
  <si>
    <t>Home Insurance Premium</t>
  </si>
  <si>
    <t>Total Premium</t>
  </si>
  <si>
    <t>TAX BENEFITS FROM INSURANCE</t>
  </si>
  <si>
    <t>Total Annual Tax Benefit</t>
  </si>
  <si>
    <t>Number of Policies</t>
  </si>
  <si>
    <t>Health (₹)</t>
  </si>
  <si>
    <t>Fixed Premium (₹)</t>
  </si>
  <si>
    <t>2023 Annual (₹)</t>
  </si>
  <si>
    <t>65000</t>
  </si>
  <si>
    <t>45000</t>
  </si>
  <si>
    <t>32000</t>
  </si>
  <si>
    <t>48000</t>
  </si>
  <si>
    <t>200500</t>
  </si>
  <si>
    <t>Current Spending</t>
  </si>
  <si>
    <t>31200</t>
  </si>
  <si>
    <t>218400</t>
  </si>
  <si>
    <t>69000</t>
  </si>
  <si>
    <t>2023</t>
  </si>
  <si>
    <t>₹65,000</t>
  </si>
  <si>
    <t>₹45,000</t>
  </si>
  <si>
    <t>₹32,000</t>
  </si>
  <si>
    <t>₹48,000</t>
  </si>
  <si>
    <t>₹10,500</t>
  </si>
  <si>
    <t>₹200,500</t>
  </si>
  <si>
    <t>Annual Premium</t>
  </si>
  <si>
    <t>52500</t>
  </si>
  <si>
    <t>54000</t>
  </si>
  <si>
    <t>11700</t>
  </si>
  <si>
    <t>Total Annual Premium (₹)</t>
  </si>
  <si>
    <t>Life (₹)</t>
  </si>
  <si>
    <t>Variable Premium (₹)</t>
  </si>
  <si>
    <t>2000</t>
  </si>
  <si>
    <t>2024 Annual (₹)</t>
  </si>
  <si>
    <t>72000</t>
  </si>
  <si>
    <t>47000</t>
  </si>
  <si>
    <t>32500</t>
  </si>
  <si>
    <t>52000</t>
  </si>
  <si>
    <t>11000</t>
  </si>
  <si>
    <t>214500</t>
  </si>
  <si>
    <t>Potential Savings</t>
  </si>
  <si>
    <t>5-8%</t>
  </si>
  <si>
    <t>10-15%</t>
  </si>
  <si>
    <t>2-5%</t>
  </si>
  <si>
    <t>15-25%</t>
  </si>
  <si>
    <t>2024</t>
  </si>
  <si>
    <t>₹72,000</t>
  </si>
  <si>
    <t>₹47,000</t>
  </si>
  <si>
    <t>₹32,500</t>
  </si>
  <si>
    <t>₹52,000</t>
  </si>
  <si>
    <t>₹11,000</t>
  </si>
  <si>
    <t>₹214,500</t>
  </si>
  <si>
    <t>Tax Deduction Type</t>
  </si>
  <si>
    <t>Section 80D</t>
  </si>
  <si>
    <t>Section 80C</t>
  </si>
  <si>
    <t>Home Loan Interest</t>
  </si>
  <si>
    <t>Not deductible</t>
  </si>
  <si>
    <t>Avg Premium per Policy (₹)</t>
  </si>
  <si>
    <t>Motor (₹)</t>
  </si>
  <si>
    <t>Total Needed (₹)</t>
  </si>
  <si>
    <t>2025 Annual (₹)</t>
  </si>
  <si>
    <t>Annual Benefit (₹)</t>
  </si>
  <si>
    <t>2025</t>
  </si>
  <si>
    <t>₹69,000</t>
  </si>
  <si>
    <t>₹52,500</t>
  </si>
  <si>
    <t>₹31,200</t>
  </si>
  <si>
    <t>₹54,000</t>
  </si>
  <si>
    <t>₹11,700</t>
  </si>
  <si>
    <t>₹218,400</t>
  </si>
  <si>
    <t>Tax Deduction Limit</t>
  </si>
  <si>
    <t>₹75,000 (individual)</t>
  </si>
  <si>
    <t>₹1,50,000 (total)</t>
  </si>
  <si>
    <t>₹2,00,000</t>
  </si>
  <si>
    <t>N/A</t>
  </si>
  <si>
    <t>% of Annual Budget</t>
  </si>
  <si>
    <t>Home (₹)</t>
  </si>
  <si>
    <t>Monthly Savings Plan (₹)</t>
  </si>
  <si>
    <t>YoY Change 2024</t>
  </si>
  <si>
    <t>+10.8%</t>
  </si>
  <si>
    <t>+4.4%</t>
  </si>
  <si>
    <t>+1.6%</t>
  </si>
  <si>
    <t>+8.3%</t>
  </si>
  <si>
    <t>+4.8%</t>
  </si>
  <si>
    <t>+6.9%</t>
  </si>
  <si>
    <t>Implementation</t>
  </si>
  <si>
    <t>Compare &amp; switch</t>
  </si>
  <si>
    <t>Bundle all policies</t>
  </si>
  <si>
    <t>Right plan fit</t>
  </si>
  <si>
    <t>Pay once yearly</t>
  </si>
  <si>
    <t>Renew online only</t>
  </si>
  <si>
    <t>3-Year CAGR</t>
  </si>
  <si>
    <t>2.9%</t>
  </si>
  <si>
    <t>7.9%</t>
  </si>
  <si>
    <t>-1.3%</t>
  </si>
  <si>
    <t>5.9%</t>
  </si>
  <si>
    <t>5.4%</t>
  </si>
  <si>
    <t>4.4%</t>
  </si>
  <si>
    <t>Tax Benefit (30% slab)</t>
  </si>
  <si>
    <t>20700</t>
  </si>
  <si>
    <t>15750</t>
  </si>
  <si>
    <t>Included in interest</t>
  </si>
  <si>
    <t>Trend</t>
  </si>
  <si>
    <t>Up 8%</t>
  </si>
  <si>
    <t>Stable</t>
  </si>
  <si>
    <t>Down 5%</t>
  </si>
  <si>
    <t>Up 3%</t>
  </si>
  <si>
    <t>Avg</t>
  </si>
  <si>
    <t>Personal Accident (₹)</t>
  </si>
  <si>
    <t>YoY Change 2025</t>
  </si>
  <si>
    <t>-4.2%</t>
  </si>
  <si>
    <t>+11.7%</t>
  </si>
  <si>
    <t>-4.0%</t>
  </si>
  <si>
    <t>+3.8%</t>
  </si>
  <si>
    <t>+6.4%</t>
  </si>
  <si>
    <t>+1.8%</t>
  </si>
  <si>
    <t>Difficulty</t>
  </si>
  <si>
    <t>Easy</t>
  </si>
  <si>
    <t>Medium</t>
  </si>
  <si>
    <t>Achievable</t>
  </si>
  <si>
    <t>Projection 2026</t>
  </si>
  <si>
    <t>Section</t>
  </si>
  <si>
    <t>80D</t>
  </si>
  <si>
    <t>80C</t>
  </si>
  <si>
    <t>24(b)</t>
  </si>
  <si>
    <t>80C &amp; 80D</t>
  </si>
  <si>
    <t>Total (₹)</t>
  </si>
  <si>
    <t>INSURANCE PREMIUM TRACKER &amp; BUDGET PLANNING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</si>
</sst>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6" width="50.7109375" customWidth="1"/>
  </cols>
  <sheetData>
    <row r="1" spans="1:6">
      <c r="A1" t="s">
        <v>81</v>
      </c>
    </row>
    <row r="3" spans="1:6">
      <c r="A3" t="s">
        <v>0</v>
      </c>
    </row>
    <row r="4" spans="1:6">
      <c r="A4" t="s">
        <v>1</v>
      </c>
      <c r="B4" t="s">
        <v>26</v>
      </c>
      <c r="C4" t="s">
        <v>41</v>
      </c>
      <c r="D4" t="s">
        <v>33</v>
      </c>
      <c r="E4" t="s">
        <v>44</v>
      </c>
      <c r="F4" t="s">
        <v>75</v>
      </c>
    </row>
    <row r="5" spans="1:6">
      <c r="A5" t="s">
        <v>2</v>
      </c>
      <c r="B5">
        <f>SUM('Policy Tracker'!D7:D11)</f>
        <v>0</v>
      </c>
      <c r="C5">
        <f>SUM('Policy Tracker'!E7:E11)</f>
        <v>0</v>
      </c>
      <c r="D5">
        <f>INDEX('Policy Tracker'!F7:F11,MATCH(MAX('Policy Tracker'!G7:G11),'Policy Tracker'!G7:G11,0))</f>
        <v>0</v>
      </c>
      <c r="E5">
        <f>IF(INDEX('Policy Tracker'!G7:G11,MATCH(MAX('Policy Tracker'!G7:G11),'Policy Tracker'!G7:G11,0))&lt;=90,"⚠️ Renew Soon","✓ Active")</f>
        <v>0</v>
      </c>
      <c r="F5" t="s">
        <v>76</v>
      </c>
    </row>
    <row r="6" spans="1:6">
      <c r="A6" t="s">
        <v>3</v>
      </c>
      <c r="B6">
        <f>SUM('Policy Tracker'!D12:D16)</f>
        <v>0</v>
      </c>
      <c r="C6">
        <f>SUM('Policy Tracker'!E12:E16)</f>
        <v>0</v>
      </c>
      <c r="D6">
        <f>INDEX('Policy Tracker'!F12:F16,MATCH(MAX('Policy Tracker'!G12:G16),'Policy Tracker'!G12:G16,0))</f>
        <v>0</v>
      </c>
      <c r="E6">
        <f>IF(INDEX('Policy Tracker'!G12:G16,MATCH(MAX('Policy Tracker'!G12:G16),'Policy Tracker'!G12:G16,0))&lt;=90,"⚠️ Renew Soon","✓ Active")</f>
        <v>0</v>
      </c>
      <c r="F6" t="s">
        <v>77</v>
      </c>
    </row>
    <row r="7" spans="1:6">
      <c r="A7" t="s">
        <v>4</v>
      </c>
      <c r="B7">
        <f>SUM('Policy Tracker'!D17:D21)</f>
        <v>0</v>
      </c>
      <c r="C7">
        <f>SUM('Policy Tracker'!E17:E21)</f>
        <v>0</v>
      </c>
      <c r="D7">
        <f>INDEX('Policy Tracker'!F17:F21,MATCH(MAX('Policy Tracker'!G17:G21),'Policy Tracker'!G17:G21,0))</f>
        <v>0</v>
      </c>
      <c r="E7">
        <f>IF(INDEX('Policy Tracker'!G17:F21,MATCH(MAX('Policy Tracker'!G17:G21),'Policy Tracker'!G17:G21,0))&lt;=90,"⚠️ Renew Soon","✓ Active")</f>
        <v>0</v>
      </c>
      <c r="F7" t="s">
        <v>78</v>
      </c>
    </row>
    <row r="8" spans="1:6">
      <c r="A8" t="s">
        <v>5</v>
      </c>
      <c r="B8">
        <f>SUM('Policy Tracker'!D22:D26)</f>
        <v>0</v>
      </c>
      <c r="C8">
        <f>SUM('Policy Tracker'!E22:E26)</f>
        <v>0</v>
      </c>
      <c r="D8">
        <f>INDEX('Policy Tracker'!F22:F26,MATCH(MAX('Policy Tracker'!G22:G26),'Policy Tracker'!G22:G26,0))</f>
        <v>0</v>
      </c>
      <c r="E8">
        <f>IF(INDEX('Policy Tracker'!G22:G26,MATCH(MAX('Policy Tracker'!G22:G26),'Policy Tracker'!G22:G26,0))&lt;=90,"⚠️ Renew Soon","✓ Active")</f>
        <v>0</v>
      </c>
      <c r="F8" t="s">
        <v>79</v>
      </c>
    </row>
    <row r="9" spans="1:6">
      <c r="A9" t="s">
        <v>6</v>
      </c>
      <c r="B9">
        <f>SUM('Policy Tracker'!D27:D31)</f>
        <v>0</v>
      </c>
      <c r="C9">
        <f>SUM('Policy Tracker'!E27:E31)</f>
        <v>0</v>
      </c>
      <c r="D9">
        <f>INDEX('Policy Tracker'!F27:F31,MATCH(MAX('Policy Tracker'!G27:G31),'Policy Tracker'!G27:G31,0))</f>
        <v>0</v>
      </c>
      <c r="E9">
        <f>IF(INDEX('Policy Tracker'!G27:G31,MATCH(MAX('Policy Tracker'!G27:G31),'Policy Tracker'!G27:G31,0))&lt;=90,"⚠️ Renew Soon","✓ Active")</f>
        <v>0</v>
      </c>
      <c r="F9" t="s">
        <v>80</v>
      </c>
    </row>
    <row r="10" spans="1:6">
      <c r="A10" t="s">
        <v>7</v>
      </c>
      <c r="B10" t="s">
        <v>27</v>
      </c>
      <c r="C10">
        <f>SUM(B8:B12)</f>
        <v>0</v>
      </c>
    </row>
    <row r="11" spans="1:6">
      <c r="A11" t="s">
        <v>8</v>
      </c>
      <c r="B11" t="s">
        <v>27</v>
      </c>
      <c r="C11">
        <f>SUM(D8:D12)</f>
        <v>0</v>
      </c>
    </row>
    <row r="13" spans="1:6">
      <c r="A13" t="s">
        <v>9</v>
      </c>
    </row>
    <row r="14" spans="1:6">
      <c r="A14" t="s">
        <v>10</v>
      </c>
      <c r="B14" t="s">
        <v>28</v>
      </c>
      <c r="C14" t="s">
        <v>42</v>
      </c>
      <c r="D14" t="s">
        <v>54</v>
      </c>
      <c r="E14" t="s">
        <v>44</v>
      </c>
      <c r="F14" t="s">
        <v>22</v>
      </c>
    </row>
    <row r="15" spans="1:6">
      <c r="A15" t="s">
        <v>2</v>
      </c>
      <c r="B15" t="s">
        <v>29</v>
      </c>
      <c r="C15">
        <f>IF('Policy Tracker'!D7&gt;0,'Policy Tracker'!D7,0)</f>
        <v>0</v>
      </c>
      <c r="D15">
        <f>MAX(0,B17-C17)</f>
        <v>0</v>
      </c>
      <c r="E15">
        <f>IF(C17&gt;=B17,"✓ Adequate","❌ Gap")</f>
        <v>0</v>
      </c>
      <c r="F15">
        <f>IF(D17&gt;100000,"HIGH",IF(D17&gt;50000,"MEDIUM","LOW"))</f>
        <v>0</v>
      </c>
    </row>
    <row r="16" spans="1:6">
      <c r="A16" t="s">
        <v>3</v>
      </c>
      <c r="B16" t="s">
        <v>30</v>
      </c>
      <c r="C16">
        <f>SUM('Policy Tracker'!D12:D16)</f>
        <v>0</v>
      </c>
      <c r="D16">
        <f>MAX(0,B18-C18)</f>
        <v>0</v>
      </c>
      <c r="E16">
        <f>IF(C18&gt;=B18,"✓ Adequate","❌ Gap")</f>
        <v>0</v>
      </c>
      <c r="F16">
        <f>IF(D18&gt;500000,"HIGH",IF(D18&gt;200000,"MEDIUM","LOW"))</f>
        <v>0</v>
      </c>
    </row>
    <row r="17" spans="1:6">
      <c r="A17" t="s">
        <v>4</v>
      </c>
      <c r="B17" t="s">
        <v>31</v>
      </c>
      <c r="C17">
        <f>SUM('Policy Tracker'!D17:D21)</f>
        <v>0</v>
      </c>
      <c r="D17">
        <f>MAX(0,B19-C19)</f>
        <v>0</v>
      </c>
      <c r="E17">
        <f>IF(C19&gt;=B19,"✓ Adequate","❌ Gap")</f>
        <v>0</v>
      </c>
      <c r="F17">
        <f>IF(D19&gt;100000,"HIGH",IF(D19&gt;50000,"MEDIUM","LOW"))</f>
        <v>0</v>
      </c>
    </row>
    <row r="18" spans="1:6">
      <c r="A18" t="s">
        <v>5</v>
      </c>
      <c r="B18" t="s">
        <v>32</v>
      </c>
      <c r="C18">
        <f>SUM('Policy Tracker'!D22:D26)</f>
        <v>0</v>
      </c>
      <c r="D18">
        <f>MAX(0,B20-C20)</f>
        <v>0</v>
      </c>
      <c r="E18">
        <f>IF(C20&gt;=B20,"✓ Adequate","❌ Gap")</f>
        <v>0</v>
      </c>
      <c r="F18">
        <f>IF(D20&gt;200000,"HIGH",IF(D20&gt;100000,"MEDIUM","LOW"))</f>
        <v>0</v>
      </c>
    </row>
    <row r="19" spans="1:6">
      <c r="A19" t="s">
        <v>6</v>
      </c>
      <c r="B19" t="s">
        <v>29</v>
      </c>
      <c r="C19">
        <f>SUM('Policy Tracker'!D27:D31)</f>
        <v>0</v>
      </c>
      <c r="D19">
        <f>MAX(0,B21-C21)</f>
        <v>0</v>
      </c>
      <c r="E19">
        <f>IF(C21&gt;=B21,"✓ Adequate","❌ Gap")</f>
        <v>0</v>
      </c>
      <c r="F19">
        <f>IF(D21&gt;100000,"HIGH",IF(D21&gt;50000,"MEDIUM","LOW"))</f>
        <v>0</v>
      </c>
    </row>
    <row r="21" spans="1:6">
      <c r="A21" t="s">
        <v>11</v>
      </c>
    </row>
    <row r="22" spans="1:6">
      <c r="A22" t="s">
        <v>12</v>
      </c>
      <c r="B22" t="s">
        <v>33</v>
      </c>
      <c r="C22" t="s">
        <v>43</v>
      </c>
      <c r="D22" t="s">
        <v>55</v>
      </c>
      <c r="E22" t="s">
        <v>68</v>
      </c>
      <c r="F22" t="s">
        <v>44</v>
      </c>
    </row>
    <row r="23" spans="1:6">
      <c r="A23" cm="1">
        <f t="array" ref="A23">_xlfn._xlws.FILTER('Policy Tracker'!A7:A31,('Policy Tracker'!G7:G31&lt;=90)*('Policy Tracker'!G7:G31&gt;0))</f>
        <v>0</v>
      </c>
      <c r="B23" cm="1">
        <f t="array" ref="B23">_xlfn._xlws.FILTER('Policy Tracker'!F7:F31,('Policy Tracker'!G7:G31&lt;=90)*('Policy Tracker'!G7:G31&gt;0))</f>
        <v>0</v>
      </c>
      <c r="C23" cm="1">
        <f t="array" ref="C23">_xlfn._xlws.FILTER('Policy Tracker'!G7:G31,('Policy Tracker'!G7:G31&lt;=90)*('Policy Tracker'!G7:G31&gt;0))</f>
        <v>0</v>
      </c>
      <c r="D23" cm="1">
        <f t="array" ref="D23">_xlfn._xlws.FILTER('Policy Tracker'!E7:E31,('Policy Tracker'!G7:G31&lt;=90)*('Policy Tracker'!G7:G31&gt;0))</f>
        <v>0</v>
      </c>
      <c r="E23">
        <f>IF('Policy Tracker'!G7:G31&lt;=30,"❗ URGENT RENEW","⚠️ Renew Soon")</f>
        <v>0</v>
      </c>
      <c r="F23">
        <f>IF('Policy Tracker'!G7:G31&lt;=30,"Critical","Warning")</f>
        <v>0</v>
      </c>
    </row>
    <row r="25" spans="1:6">
      <c r="A25" t="s">
        <v>13</v>
      </c>
    </row>
    <row r="26" spans="1:6">
      <c r="A26" t="s">
        <v>14</v>
      </c>
      <c r="B26" t="s">
        <v>34</v>
      </c>
      <c r="C26" t="s">
        <v>44</v>
      </c>
      <c r="D26" t="s">
        <v>56</v>
      </c>
    </row>
    <row r="27" spans="1:6">
      <c r="A27" t="s">
        <v>15</v>
      </c>
      <c r="B27">
        <f>COUNTA('Policy Tracker'!A7:A31)</f>
        <v>0</v>
      </c>
      <c r="C27" t="s">
        <v>45</v>
      </c>
      <c r="D27" t="s">
        <v>57</v>
      </c>
    </row>
    <row r="28" spans="1:6">
      <c r="A28" t="s">
        <v>16</v>
      </c>
      <c r="B28" t="s">
        <v>27</v>
      </c>
      <c r="C28">
        <f>AVERAGE('Policy Tracker'!E7:E31)</f>
        <v>0</v>
      </c>
      <c r="D28" t="s">
        <v>58</v>
      </c>
    </row>
    <row r="29" spans="1:6">
      <c r="A29" t="s">
        <v>17</v>
      </c>
      <c r="B29">
        <f>COUNTIFS('Policy Tracker'!G7:G31,"&lt;=30",'Policy Tracker'!G7:G31,"&gt;0")</f>
        <v>0</v>
      </c>
      <c r="C29" t="s">
        <v>46</v>
      </c>
      <c r="D29" t="s">
        <v>59</v>
      </c>
    </row>
    <row r="30" spans="1:6">
      <c r="A30" t="s">
        <v>18</v>
      </c>
      <c r="B30">
        <f>COUNTIFS('Policy Tracker'!G7:G31,"&lt;=90",'Policy Tracker'!G7:G31,"&gt;0")</f>
        <v>0</v>
      </c>
      <c r="C30" t="s">
        <v>47</v>
      </c>
      <c r="D30" t="s">
        <v>60</v>
      </c>
    </row>
    <row r="31" spans="1:6">
      <c r="A31" t="s">
        <v>19</v>
      </c>
      <c r="B31" t="s">
        <v>27</v>
      </c>
      <c r="C31">
        <f>SUM('Policy Tracker'!D7:D31)</f>
        <v>0</v>
      </c>
      <c r="D31" t="s">
        <v>61</v>
      </c>
    </row>
    <row r="32" spans="1:6">
      <c r="A32" t="s">
        <v>20</v>
      </c>
      <c r="B32" t="s">
        <v>27</v>
      </c>
      <c r="C32">
        <f>SUM('Policy Tracker'!E7:E31)</f>
        <v>0</v>
      </c>
      <c r="D32" t="s">
        <v>62</v>
      </c>
    </row>
    <row r="34" spans="1:5">
      <c r="A34" t="s">
        <v>21</v>
      </c>
    </row>
    <row r="35" spans="1:5">
      <c r="A35" t="s">
        <v>22</v>
      </c>
      <c r="B35" t="s">
        <v>35</v>
      </c>
      <c r="C35" t="s">
        <v>48</v>
      </c>
      <c r="D35" t="s">
        <v>63</v>
      </c>
      <c r="E35" t="s">
        <v>69</v>
      </c>
    </row>
    <row r="36" spans="1:5">
      <c r="A36" t="s">
        <v>23</v>
      </c>
      <c r="B36" t="s">
        <v>36</v>
      </c>
      <c r="C36" t="s">
        <v>49</v>
      </c>
      <c r="D36" t="s">
        <v>64</v>
      </c>
      <c r="E36" t="s">
        <v>70</v>
      </c>
    </row>
    <row r="37" spans="1:5">
      <c r="A37" t="s">
        <v>23</v>
      </c>
      <c r="B37" t="s">
        <v>37</v>
      </c>
      <c r="C37" t="s">
        <v>50</v>
      </c>
      <c r="D37" t="s">
        <v>64</v>
      </c>
      <c r="E37" t="s">
        <v>71</v>
      </c>
    </row>
    <row r="38" spans="1:5">
      <c r="A38" t="s">
        <v>24</v>
      </c>
      <c r="B38" t="s">
        <v>38</v>
      </c>
      <c r="C38" t="s">
        <v>51</v>
      </c>
      <c r="D38" t="s">
        <v>65</v>
      </c>
      <c r="E38" t="s">
        <v>72</v>
      </c>
    </row>
    <row r="39" spans="1:5">
      <c r="A39" t="s">
        <v>24</v>
      </c>
      <c r="B39" t="s">
        <v>39</v>
      </c>
      <c r="C39" t="s">
        <v>52</v>
      </c>
      <c r="D39" t="s">
        <v>66</v>
      </c>
      <c r="E39" t="s">
        <v>73</v>
      </c>
    </row>
    <row r="40" spans="1:5">
      <c r="A40" t="s">
        <v>25</v>
      </c>
      <c r="B40" t="s">
        <v>40</v>
      </c>
      <c r="C40" t="s">
        <v>53</v>
      </c>
      <c r="D40" t="s">
        <v>67</v>
      </c>
      <c r="E4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cols>
    <col min="1" max="1" width="50.7109375" customWidth="1"/>
    <col min="2" max="2" width="38.7109375" customWidth="1"/>
    <col min="3" max="3" width="18.7109375" customWidth="1"/>
    <col min="4" max="5" width="21.7109375" customWidth="1"/>
    <col min="6" max="6" width="28.7109375" customWidth="1"/>
    <col min="7" max="8" width="29.7109375" customWidth="1"/>
    <col min="9" max="9" width="31.7109375" customWidth="1"/>
    <col min="10" max="10" width="20.7109375" customWidth="1"/>
  </cols>
  <sheetData>
    <row r="1" spans="1:10">
      <c r="A1" t="s">
        <v>259</v>
      </c>
    </row>
    <row r="3" spans="1:10">
      <c r="A3" t="s">
        <v>82</v>
      </c>
    </row>
    <row r="5" spans="1:10">
      <c r="A5" t="s">
        <v>83</v>
      </c>
    </row>
    <row r="6" spans="1:10">
      <c r="A6" t="s">
        <v>12</v>
      </c>
      <c r="B6" t="s">
        <v>116</v>
      </c>
      <c r="C6" t="s">
        <v>131</v>
      </c>
      <c r="D6" t="s">
        <v>26</v>
      </c>
      <c r="E6" t="s">
        <v>41</v>
      </c>
      <c r="F6" t="s">
        <v>196</v>
      </c>
      <c r="G6" t="s">
        <v>43</v>
      </c>
      <c r="H6" t="s">
        <v>224</v>
      </c>
      <c r="I6" t="s">
        <v>234</v>
      </c>
      <c r="J6" t="s">
        <v>243</v>
      </c>
    </row>
    <row r="7" spans="1:10">
      <c r="A7" t="s">
        <v>84</v>
      </c>
      <c r="B7" t="s">
        <v>117</v>
      </c>
      <c r="C7" t="s">
        <v>132</v>
      </c>
      <c r="D7" t="s">
        <v>29</v>
      </c>
      <c r="E7" t="s">
        <v>178</v>
      </c>
      <c r="F7" t="s">
        <v>197</v>
      </c>
      <c r="G7">
        <f>DAYS('2026-03-15',TODAY())</f>
        <v>0</v>
      </c>
      <c r="H7" t="s">
        <v>225</v>
      </c>
      <c r="I7" t="s">
        <v>45</v>
      </c>
      <c r="J7" t="s">
        <v>244</v>
      </c>
    </row>
    <row r="8" spans="1:10">
      <c r="A8" t="s">
        <v>85</v>
      </c>
      <c r="B8" t="s">
        <v>118</v>
      </c>
      <c r="C8" t="s">
        <v>133</v>
      </c>
      <c r="D8" t="s">
        <v>157</v>
      </c>
      <c r="E8" t="s">
        <v>179</v>
      </c>
      <c r="F8" t="s">
        <v>198</v>
      </c>
      <c r="G8">
        <f>DAYS('2026-05-20',TODAY())</f>
        <v>0</v>
      </c>
      <c r="H8" t="s">
        <v>225</v>
      </c>
      <c r="I8" t="s">
        <v>45</v>
      </c>
      <c r="J8" t="s">
        <v>245</v>
      </c>
    </row>
    <row r="9" spans="1:10">
      <c r="A9" t="s">
        <v>86</v>
      </c>
      <c r="B9" t="s">
        <v>119</v>
      </c>
      <c r="C9" t="s">
        <v>134</v>
      </c>
      <c r="D9" t="s">
        <v>158</v>
      </c>
      <c r="E9" t="s">
        <v>180</v>
      </c>
      <c r="F9" t="s">
        <v>199</v>
      </c>
      <c r="G9">
        <f>DAYS('2026-02-28',TODAY())</f>
        <v>0</v>
      </c>
      <c r="H9" t="s">
        <v>226</v>
      </c>
      <c r="I9" t="s">
        <v>45</v>
      </c>
      <c r="J9" t="s">
        <v>244</v>
      </c>
    </row>
    <row r="10" spans="1:10">
      <c r="A10" t="s">
        <v>87</v>
      </c>
      <c r="B10" t="s">
        <v>120</v>
      </c>
      <c r="C10" t="s">
        <v>135</v>
      </c>
      <c r="D10" t="s">
        <v>159</v>
      </c>
      <c r="E10" t="s">
        <v>181</v>
      </c>
      <c r="F10" t="s">
        <v>200</v>
      </c>
      <c r="G10">
        <f>DAYS('2026-04-10',TODAY())</f>
        <v>0</v>
      </c>
      <c r="H10" t="s">
        <v>225</v>
      </c>
      <c r="I10" t="s">
        <v>45</v>
      </c>
      <c r="J10" t="s">
        <v>244</v>
      </c>
    </row>
    <row r="11" spans="1:10">
      <c r="A11" t="s">
        <v>88</v>
      </c>
      <c r="B11" t="s">
        <v>121</v>
      </c>
      <c r="C11" t="s">
        <v>136</v>
      </c>
      <c r="D11" t="s">
        <v>160</v>
      </c>
      <c r="E11" t="s">
        <v>182</v>
      </c>
      <c r="F11" t="s">
        <v>201</v>
      </c>
      <c r="G11">
        <f>DAYS('2026-01-30',TODAY())</f>
        <v>0</v>
      </c>
      <c r="H11" t="s">
        <v>225</v>
      </c>
      <c r="I11" t="s">
        <v>45</v>
      </c>
      <c r="J11" t="s">
        <v>246</v>
      </c>
    </row>
    <row r="13" spans="1:10">
      <c r="A13" t="s">
        <v>89</v>
      </c>
    </row>
    <row r="14" spans="1:10">
      <c r="A14" t="s">
        <v>12</v>
      </c>
      <c r="B14" t="s">
        <v>116</v>
      </c>
      <c r="C14" t="s">
        <v>131</v>
      </c>
      <c r="D14" t="s">
        <v>161</v>
      </c>
      <c r="E14" t="s">
        <v>41</v>
      </c>
      <c r="F14" t="s">
        <v>202</v>
      </c>
      <c r="G14" t="s">
        <v>43</v>
      </c>
      <c r="H14" t="s">
        <v>227</v>
      </c>
      <c r="I14" t="s">
        <v>235</v>
      </c>
      <c r="J14" t="s">
        <v>44</v>
      </c>
    </row>
    <row r="15" spans="1:10">
      <c r="A15" t="s">
        <v>90</v>
      </c>
      <c r="B15" t="s">
        <v>122</v>
      </c>
      <c r="C15" t="s">
        <v>137</v>
      </c>
      <c r="D15" t="s">
        <v>162</v>
      </c>
      <c r="E15" t="s">
        <v>183</v>
      </c>
      <c r="F15" t="s">
        <v>203</v>
      </c>
      <c r="G15">
        <f>DAYS('2043-01-15',TODAY())</f>
        <v>0</v>
      </c>
      <c r="H15" t="s">
        <v>228</v>
      </c>
      <c r="I15" t="s">
        <v>236</v>
      </c>
      <c r="J15" t="s">
        <v>45</v>
      </c>
    </row>
    <row r="16" spans="1:10">
      <c r="A16" t="s">
        <v>91</v>
      </c>
      <c r="B16" t="s">
        <v>123</v>
      </c>
      <c r="C16" t="s">
        <v>138</v>
      </c>
      <c r="D16" t="s">
        <v>163</v>
      </c>
      <c r="E16" t="s">
        <v>184</v>
      </c>
      <c r="F16" t="s">
        <v>204</v>
      </c>
      <c r="G16">
        <f>DAYS('2044-06-20',TODAY())</f>
        <v>0</v>
      </c>
      <c r="H16" t="s">
        <v>228</v>
      </c>
      <c r="I16" t="s">
        <v>237</v>
      </c>
      <c r="J16" t="s">
        <v>45</v>
      </c>
    </row>
    <row r="17" spans="1:10">
      <c r="A17" t="s">
        <v>92</v>
      </c>
      <c r="B17" t="s">
        <v>124</v>
      </c>
      <c r="C17" t="s">
        <v>139</v>
      </c>
      <c r="D17" t="s">
        <v>31</v>
      </c>
      <c r="E17" t="s">
        <v>185</v>
      </c>
      <c r="F17" t="s">
        <v>205</v>
      </c>
      <c r="G17">
        <f>DAYS('2043-12-05',TODAY())</f>
        <v>0</v>
      </c>
      <c r="H17" t="s">
        <v>228</v>
      </c>
      <c r="I17" t="s">
        <v>238</v>
      </c>
      <c r="J17" t="s">
        <v>45</v>
      </c>
    </row>
    <row r="18" spans="1:10">
      <c r="A18" t="s">
        <v>93</v>
      </c>
      <c r="B18" t="s">
        <v>125</v>
      </c>
      <c r="C18" t="s">
        <v>140</v>
      </c>
      <c r="D18" t="s">
        <v>164</v>
      </c>
      <c r="E18" t="s">
        <v>186</v>
      </c>
      <c r="F18" t="s">
        <v>206</v>
      </c>
      <c r="G18">
        <f>DAYS('2044-03-10',TODAY())</f>
        <v>0</v>
      </c>
      <c r="H18" t="s">
        <v>228</v>
      </c>
      <c r="I18" t="s">
        <v>236</v>
      </c>
      <c r="J18" t="s">
        <v>45</v>
      </c>
    </row>
    <row r="19" spans="1:10">
      <c r="A19" t="s">
        <v>94</v>
      </c>
      <c r="B19" t="s">
        <v>126</v>
      </c>
      <c r="C19" t="s">
        <v>141</v>
      </c>
      <c r="D19" t="s">
        <v>165</v>
      </c>
      <c r="E19" t="s">
        <v>182</v>
      </c>
      <c r="F19" t="s">
        <v>207</v>
      </c>
      <c r="G19">
        <f>DAYS('2043-08-22',TODAY())</f>
        <v>0</v>
      </c>
      <c r="H19" t="s">
        <v>228</v>
      </c>
      <c r="I19" t="s">
        <v>239</v>
      </c>
      <c r="J19" t="s">
        <v>45</v>
      </c>
    </row>
    <row r="21" spans="1:10">
      <c r="A21" t="s">
        <v>95</v>
      </c>
    </row>
    <row r="22" spans="1:10">
      <c r="A22" t="s">
        <v>96</v>
      </c>
      <c r="B22" t="s">
        <v>116</v>
      </c>
      <c r="C22" t="s">
        <v>131</v>
      </c>
      <c r="D22" t="s">
        <v>166</v>
      </c>
      <c r="E22" t="s">
        <v>26</v>
      </c>
      <c r="F22" t="s">
        <v>41</v>
      </c>
      <c r="G22" t="s">
        <v>196</v>
      </c>
      <c r="H22" t="s">
        <v>43</v>
      </c>
      <c r="I22" t="s">
        <v>240</v>
      </c>
      <c r="J22" t="s">
        <v>247</v>
      </c>
    </row>
    <row r="23" spans="1:10">
      <c r="A23" t="s">
        <v>97</v>
      </c>
      <c r="B23" t="s">
        <v>125</v>
      </c>
      <c r="C23" t="s">
        <v>142</v>
      </c>
      <c r="D23" t="s">
        <v>167</v>
      </c>
      <c r="E23" t="s">
        <v>164</v>
      </c>
      <c r="F23" t="s">
        <v>183</v>
      </c>
      <c r="G23" t="s">
        <v>216</v>
      </c>
      <c r="H23">
        <f>DAYS('2026-06-15',TODAY())</f>
        <v>0</v>
      </c>
      <c r="I23" t="s">
        <v>225</v>
      </c>
      <c r="J23" t="s">
        <v>248</v>
      </c>
    </row>
    <row r="24" spans="1:10">
      <c r="A24" t="s">
        <v>98</v>
      </c>
      <c r="B24" t="s">
        <v>118</v>
      </c>
      <c r="C24" t="s">
        <v>143</v>
      </c>
      <c r="D24" t="s">
        <v>168</v>
      </c>
      <c r="E24" t="s">
        <v>163</v>
      </c>
      <c r="F24" t="s">
        <v>182</v>
      </c>
      <c r="G24" t="s">
        <v>217</v>
      </c>
      <c r="H24">
        <f>DAYS('2026-07-20',TODAY())</f>
        <v>0</v>
      </c>
      <c r="I24" t="s">
        <v>225</v>
      </c>
      <c r="J24" t="s">
        <v>249</v>
      </c>
    </row>
    <row r="25" spans="1:10">
      <c r="A25" t="s">
        <v>99</v>
      </c>
      <c r="B25" t="s">
        <v>127</v>
      </c>
      <c r="C25" t="s">
        <v>144</v>
      </c>
      <c r="D25" t="s">
        <v>169</v>
      </c>
      <c r="E25" t="s">
        <v>187</v>
      </c>
      <c r="F25" t="s">
        <v>208</v>
      </c>
      <c r="G25" t="s">
        <v>218</v>
      </c>
      <c r="H25">
        <f>DAYS('2026-03-10',TODAY())</f>
        <v>0</v>
      </c>
      <c r="I25" t="s">
        <v>225</v>
      </c>
      <c r="J25" t="s">
        <v>250</v>
      </c>
    </row>
    <row r="26" spans="1:10">
      <c r="A26" t="s">
        <v>100</v>
      </c>
      <c r="B26" t="s">
        <v>128</v>
      </c>
      <c r="C26" t="s">
        <v>145</v>
      </c>
      <c r="D26" t="s">
        <v>170</v>
      </c>
      <c r="E26" t="s">
        <v>160</v>
      </c>
      <c r="F26" t="s">
        <v>191</v>
      </c>
      <c r="G26" t="s">
        <v>199</v>
      </c>
      <c r="H26">
        <f>DAYS('2026-02-28',TODAY())</f>
        <v>0</v>
      </c>
      <c r="I26" t="s">
        <v>225</v>
      </c>
      <c r="J26" t="s">
        <v>251</v>
      </c>
    </row>
    <row r="27" spans="1:10">
      <c r="A27" t="s">
        <v>101</v>
      </c>
      <c r="B27" t="s">
        <v>129</v>
      </c>
      <c r="C27" t="s">
        <v>146</v>
      </c>
      <c r="D27" t="s">
        <v>171</v>
      </c>
      <c r="E27" t="s">
        <v>188</v>
      </c>
      <c r="F27" t="s">
        <v>209</v>
      </c>
      <c r="G27" t="s">
        <v>219</v>
      </c>
      <c r="H27">
        <f>DAYS('2026-05-15',TODAY())</f>
        <v>0</v>
      </c>
      <c r="I27" t="s">
        <v>225</v>
      </c>
      <c r="J27" t="s">
        <v>252</v>
      </c>
    </row>
    <row r="29" spans="1:10">
      <c r="A29" t="s">
        <v>102</v>
      </c>
    </row>
    <row r="30" spans="1:10">
      <c r="A30" t="s">
        <v>12</v>
      </c>
      <c r="B30" t="s">
        <v>116</v>
      </c>
      <c r="C30" t="s">
        <v>131</v>
      </c>
      <c r="D30" t="s">
        <v>172</v>
      </c>
      <c r="E30" t="s">
        <v>26</v>
      </c>
      <c r="F30" t="s">
        <v>41</v>
      </c>
      <c r="G30" t="s">
        <v>196</v>
      </c>
      <c r="H30" t="s">
        <v>43</v>
      </c>
      <c r="I30" t="s">
        <v>10</v>
      </c>
      <c r="J30" t="s">
        <v>243</v>
      </c>
    </row>
    <row r="31" spans="1:10">
      <c r="A31" t="s">
        <v>103</v>
      </c>
      <c r="B31" t="s">
        <v>117</v>
      </c>
      <c r="C31" t="s">
        <v>147</v>
      </c>
      <c r="D31" t="s">
        <v>173</v>
      </c>
      <c r="E31" t="s">
        <v>189</v>
      </c>
      <c r="F31" t="s">
        <v>179</v>
      </c>
      <c r="G31" t="s">
        <v>220</v>
      </c>
      <c r="H31">
        <f>DAYS('2026-08-15',TODAY())</f>
        <v>0</v>
      </c>
      <c r="I31" t="s">
        <v>225</v>
      </c>
      <c r="J31" t="s">
        <v>244</v>
      </c>
    </row>
    <row r="32" spans="1:10">
      <c r="A32" t="s">
        <v>104</v>
      </c>
      <c r="B32" t="s">
        <v>125</v>
      </c>
      <c r="C32" t="s">
        <v>148</v>
      </c>
      <c r="D32" t="s">
        <v>32</v>
      </c>
      <c r="E32" t="s">
        <v>31</v>
      </c>
      <c r="F32" t="s">
        <v>182</v>
      </c>
      <c r="G32" t="s">
        <v>212</v>
      </c>
      <c r="H32">
        <f>DAYS('2026-04-20',TODAY())</f>
        <v>0</v>
      </c>
      <c r="I32" t="s">
        <v>241</v>
      </c>
      <c r="J32" t="s">
        <v>244</v>
      </c>
    </row>
    <row r="33" spans="1:10">
      <c r="A33" t="s">
        <v>105</v>
      </c>
      <c r="B33" t="s">
        <v>129</v>
      </c>
      <c r="C33" t="s">
        <v>149</v>
      </c>
      <c r="D33" t="s">
        <v>174</v>
      </c>
      <c r="E33" t="s">
        <v>190</v>
      </c>
      <c r="F33" t="s">
        <v>185</v>
      </c>
      <c r="G33" t="s">
        <v>221</v>
      </c>
      <c r="H33">
        <f>DAYS('2026-09-10',TODAY())</f>
        <v>0</v>
      </c>
      <c r="I33" t="s">
        <v>225</v>
      </c>
      <c r="J33" t="s">
        <v>245</v>
      </c>
    </row>
    <row r="34" spans="1:10">
      <c r="A34" t="s">
        <v>106</v>
      </c>
      <c r="B34" t="s">
        <v>128</v>
      </c>
      <c r="C34" t="s">
        <v>150</v>
      </c>
      <c r="D34" t="s">
        <v>163</v>
      </c>
      <c r="E34" t="s">
        <v>162</v>
      </c>
      <c r="F34" t="s">
        <v>180</v>
      </c>
      <c r="G34" t="s">
        <v>222</v>
      </c>
      <c r="H34">
        <f>DAYS('2026-06-05',TODAY())</f>
        <v>0</v>
      </c>
      <c r="I34" t="s">
        <v>241</v>
      </c>
      <c r="J34" t="s">
        <v>244</v>
      </c>
    </row>
    <row r="35" spans="1:10">
      <c r="A35" t="s">
        <v>107</v>
      </c>
      <c r="B35" t="s">
        <v>130</v>
      </c>
      <c r="C35" t="s">
        <v>151</v>
      </c>
      <c r="D35" t="s">
        <v>31</v>
      </c>
      <c r="E35" t="s">
        <v>163</v>
      </c>
      <c r="F35" t="s">
        <v>210</v>
      </c>
      <c r="G35" t="s">
        <v>223</v>
      </c>
      <c r="H35">
        <f>DAYS('2026-03-30',TODAY())</f>
        <v>0</v>
      </c>
      <c r="I35" t="s">
        <v>225</v>
      </c>
      <c r="J35" t="s">
        <v>244</v>
      </c>
    </row>
    <row r="37" spans="1:10">
      <c r="A37" t="s">
        <v>108</v>
      </c>
    </row>
    <row r="38" spans="1:10">
      <c r="A38" t="s">
        <v>12</v>
      </c>
      <c r="B38" t="s">
        <v>116</v>
      </c>
      <c r="C38" t="s">
        <v>131</v>
      </c>
      <c r="D38" t="s">
        <v>26</v>
      </c>
      <c r="E38" t="s">
        <v>41</v>
      </c>
      <c r="F38" t="s">
        <v>196</v>
      </c>
      <c r="G38" t="s">
        <v>43</v>
      </c>
      <c r="H38" t="s">
        <v>224</v>
      </c>
      <c r="I38" t="s">
        <v>242</v>
      </c>
      <c r="J38" t="s">
        <v>253</v>
      </c>
    </row>
    <row r="39" spans="1:10">
      <c r="A39" t="s">
        <v>109</v>
      </c>
      <c r="B39" t="s">
        <v>127</v>
      </c>
      <c r="C39" t="s">
        <v>152</v>
      </c>
      <c r="D39" t="s">
        <v>175</v>
      </c>
      <c r="E39" t="s">
        <v>191</v>
      </c>
      <c r="F39" t="s">
        <v>211</v>
      </c>
      <c r="G39">
        <f>DAYS('2026-02-15',TODAY())</f>
        <v>0</v>
      </c>
      <c r="H39" t="s">
        <v>229</v>
      </c>
      <c r="I39" t="s">
        <v>175</v>
      </c>
      <c r="J39" t="s">
        <v>254</v>
      </c>
    </row>
    <row r="40" spans="1:10">
      <c r="A40" t="s">
        <v>110</v>
      </c>
      <c r="B40" t="s">
        <v>124</v>
      </c>
      <c r="C40" t="s">
        <v>153</v>
      </c>
      <c r="D40" t="s">
        <v>158</v>
      </c>
      <c r="E40" t="s">
        <v>192</v>
      </c>
      <c r="F40" t="s">
        <v>212</v>
      </c>
      <c r="G40">
        <f>DAYS('2026-04-20',TODAY())</f>
        <v>0</v>
      </c>
      <c r="H40" t="s">
        <v>230</v>
      </c>
      <c r="I40" t="s">
        <v>158</v>
      </c>
      <c r="J40" t="s">
        <v>255</v>
      </c>
    </row>
    <row r="41" spans="1:10">
      <c r="A41" t="s">
        <v>111</v>
      </c>
      <c r="B41" t="s">
        <v>126</v>
      </c>
      <c r="C41" t="s">
        <v>154</v>
      </c>
      <c r="D41" t="s">
        <v>29</v>
      </c>
      <c r="E41" t="s">
        <v>193</v>
      </c>
      <c r="F41" t="s">
        <v>213</v>
      </c>
      <c r="G41">
        <f>DAYS('2026-07-10',TODAY())</f>
        <v>0</v>
      </c>
      <c r="H41" t="s">
        <v>231</v>
      </c>
      <c r="I41" t="s">
        <v>29</v>
      </c>
      <c r="J41" t="s">
        <v>256</v>
      </c>
    </row>
    <row r="42" spans="1:10">
      <c r="A42" t="s">
        <v>112</v>
      </c>
      <c r="B42" t="s">
        <v>122</v>
      </c>
      <c r="C42" t="s">
        <v>155</v>
      </c>
      <c r="D42" t="s">
        <v>176</v>
      </c>
      <c r="E42" t="s">
        <v>194</v>
      </c>
      <c r="F42" t="s">
        <v>214</v>
      </c>
      <c r="G42">
        <f>DAYS('2026-05-05',TODAY())</f>
        <v>0</v>
      </c>
      <c r="H42" t="s">
        <v>232</v>
      </c>
      <c r="I42" t="s">
        <v>176</v>
      </c>
      <c r="J42" t="s">
        <v>257</v>
      </c>
    </row>
    <row r="43" spans="1:10">
      <c r="A43" t="s">
        <v>113</v>
      </c>
      <c r="B43" t="s">
        <v>125</v>
      </c>
      <c r="C43" t="s">
        <v>156</v>
      </c>
      <c r="D43" t="s">
        <v>177</v>
      </c>
      <c r="E43" t="s">
        <v>195</v>
      </c>
      <c r="F43" t="s">
        <v>215</v>
      </c>
      <c r="G43">
        <f>DAYS('2026-06-30',TODAY())</f>
        <v>0</v>
      </c>
      <c r="H43" t="s">
        <v>233</v>
      </c>
      <c r="I43" t="s">
        <v>177</v>
      </c>
      <c r="J43" t="s">
        <v>258</v>
      </c>
    </row>
    <row r="45" spans="1:10">
      <c r="A45" t="s">
        <v>114</v>
      </c>
    </row>
    <row r="46" spans="1:10">
      <c r="A46" t="s">
        <v>15</v>
      </c>
      <c r="B46">
        <f>COUNTA(A7:A31)</f>
        <v>0</v>
      </c>
    </row>
    <row r="47" spans="1:10">
      <c r="A47" t="s">
        <v>115</v>
      </c>
      <c r="B47">
        <f>SUM(E7:E31)</f>
        <v>0</v>
      </c>
    </row>
    <row r="48" spans="1:10">
      <c r="A48" t="s">
        <v>19</v>
      </c>
      <c r="B48">
        <f>SUM(D7:D31)</f>
        <v>0</v>
      </c>
    </row>
    <row r="49" spans="1:2">
      <c r="A49" t="s">
        <v>17</v>
      </c>
      <c r="B49">
        <f>COUNTIFS(G7:G31,"&lt;=30",G7:G31,"&gt;0")</f>
        <v>0</v>
      </c>
    </row>
    <row r="50" spans="1:2">
      <c r="A50" t="s">
        <v>18</v>
      </c>
      <c r="B50">
        <f>COUNTIFS(G7:G31,"&lt;=90",G7:G31,"&gt;0")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1" width="50.7109375" customWidth="1"/>
    <col min="2" max="2" width="36.7109375" customWidth="1"/>
    <col min="3" max="3" width="50.7109375" customWidth="1"/>
    <col min="4" max="4" width="28.7109375" customWidth="1"/>
    <col min="5" max="5" width="34.7109375" customWidth="1"/>
  </cols>
  <sheetData>
    <row r="1" spans="1:5">
      <c r="A1" t="s">
        <v>440</v>
      </c>
    </row>
    <row r="3" spans="1:5">
      <c r="A3" t="s">
        <v>260</v>
      </c>
    </row>
    <row r="5" spans="1:5">
      <c r="A5" t="s">
        <v>261</v>
      </c>
    </row>
    <row r="6" spans="1:5">
      <c r="A6" t="s">
        <v>262</v>
      </c>
      <c r="B6" t="s">
        <v>328</v>
      </c>
      <c r="C6" t="s">
        <v>378</v>
      </c>
      <c r="D6" t="s">
        <v>409</v>
      </c>
      <c r="E6" t="s">
        <v>411</v>
      </c>
    </row>
    <row r="7" spans="1:5">
      <c r="A7" t="s">
        <v>263</v>
      </c>
      <c r="B7" t="s">
        <v>329</v>
      </c>
      <c r="C7" t="s">
        <v>379</v>
      </c>
      <c r="E7" t="s">
        <v>422</v>
      </c>
    </row>
    <row r="8" spans="1:5">
      <c r="A8" t="s">
        <v>264</v>
      </c>
      <c r="B8" t="s">
        <v>330</v>
      </c>
      <c r="C8" t="s">
        <v>380</v>
      </c>
      <c r="E8" t="s">
        <v>423</v>
      </c>
    </row>
    <row r="9" spans="1:5">
      <c r="A9" t="s">
        <v>265</v>
      </c>
      <c r="B9" t="s">
        <v>331</v>
      </c>
      <c r="C9" t="s">
        <v>381</v>
      </c>
      <c r="E9" t="s">
        <v>424</v>
      </c>
    </row>
    <row r="10" spans="1:5">
      <c r="A10" t="s">
        <v>266</v>
      </c>
      <c r="B10" t="s">
        <v>332</v>
      </c>
      <c r="C10" t="s">
        <v>382</v>
      </c>
      <c r="E10" t="s">
        <v>425</v>
      </c>
    </row>
    <row r="12" spans="1:5">
      <c r="A12" t="s">
        <v>267</v>
      </c>
    </row>
    <row r="13" spans="1:5">
      <c r="A13" t="s">
        <v>268</v>
      </c>
      <c r="B13" t="s">
        <v>333</v>
      </c>
      <c r="C13" t="s">
        <v>383</v>
      </c>
      <c r="D13" t="s">
        <v>410</v>
      </c>
      <c r="E13" t="s">
        <v>426</v>
      </c>
    </row>
    <row r="14" spans="1:5">
      <c r="A14" t="s">
        <v>269</v>
      </c>
      <c r="B14" t="s">
        <v>334</v>
      </c>
      <c r="C14">
        <f>IF(B7&lt;30,300000,IF(B7&lt;40,400000,IF(B7&lt;50,500000,600000)))</f>
        <v>0</v>
      </c>
      <c r="D14" t="s">
        <v>29</v>
      </c>
      <c r="E14">
        <f>MAX(0,B24-D24)</f>
        <v>0</v>
      </c>
    </row>
    <row r="15" spans="1:5">
      <c r="A15" t="s">
        <v>270</v>
      </c>
      <c r="B15" t="s">
        <v>335</v>
      </c>
      <c r="C15">
        <f>(B8*500000)</f>
        <v>0</v>
      </c>
      <c r="D15">
        <f>2500000</f>
        <v>0</v>
      </c>
      <c r="E15">
        <f>MAX(0,B25-D25)</f>
        <v>0</v>
      </c>
    </row>
    <row r="16" spans="1:5">
      <c r="A16" t="s">
        <v>271</v>
      </c>
      <c r="B16" t="s">
        <v>336</v>
      </c>
      <c r="C16">
        <f>B24/5</f>
        <v>0</v>
      </c>
      <c r="D16">
        <f>100000</f>
        <v>0</v>
      </c>
      <c r="E16">
        <f>MAX(0,B26-D26)</f>
        <v>0</v>
      </c>
    </row>
    <row r="17" spans="1:5">
      <c r="A17" t="s">
        <v>272</v>
      </c>
      <c r="B17" t="s">
        <v>337</v>
      </c>
      <c r="C17">
        <f>B24/2</f>
        <v>0</v>
      </c>
      <c r="D17">
        <f>250000</f>
        <v>0</v>
      </c>
      <c r="E17">
        <f>MAX(0,B27-D27)</f>
        <v>0</v>
      </c>
    </row>
    <row r="18" spans="1:5">
      <c r="A18" t="s">
        <v>273</v>
      </c>
      <c r="B18" t="s">
        <v>338</v>
      </c>
      <c r="C18">
        <f>B24+B25</f>
        <v>0</v>
      </c>
      <c r="D18">
        <f>2600000</f>
        <v>0</v>
      </c>
      <c r="E18">
        <f>MAX(0,B28-D28)</f>
        <v>0</v>
      </c>
    </row>
    <row r="20" spans="1:5">
      <c r="A20" t="s">
        <v>274</v>
      </c>
    </row>
    <row r="21" spans="1:5">
      <c r="A21" t="s">
        <v>262</v>
      </c>
      <c r="B21" t="s">
        <v>328</v>
      </c>
      <c r="C21" t="s">
        <v>378</v>
      </c>
      <c r="D21" t="s">
        <v>409</v>
      </c>
      <c r="E21" t="s">
        <v>411</v>
      </c>
    </row>
    <row r="22" spans="1:5">
      <c r="A22" t="s">
        <v>263</v>
      </c>
      <c r="B22" t="s">
        <v>329</v>
      </c>
      <c r="C22" t="s">
        <v>379</v>
      </c>
    </row>
    <row r="23" spans="1:5">
      <c r="A23" t="s">
        <v>275</v>
      </c>
      <c r="B23" t="s">
        <v>331</v>
      </c>
      <c r="C23" t="s">
        <v>384</v>
      </c>
    </row>
    <row r="24" spans="1:5">
      <c r="A24" t="s">
        <v>276</v>
      </c>
      <c r="B24" t="s">
        <v>339</v>
      </c>
      <c r="C24" t="s">
        <v>385</v>
      </c>
      <c r="E24" t="s">
        <v>427</v>
      </c>
    </row>
    <row r="25" spans="1:5">
      <c r="A25" t="s">
        <v>277</v>
      </c>
      <c r="B25" t="s">
        <v>340</v>
      </c>
      <c r="C25" t="s">
        <v>386</v>
      </c>
    </row>
    <row r="26" spans="1:5">
      <c r="A26" t="s">
        <v>278</v>
      </c>
      <c r="B26" t="s">
        <v>341</v>
      </c>
      <c r="C26" t="s">
        <v>387</v>
      </c>
    </row>
    <row r="27" spans="1:5">
      <c r="A27" t="s">
        <v>279</v>
      </c>
      <c r="B27" t="s">
        <v>342</v>
      </c>
      <c r="C27" t="s">
        <v>388</v>
      </c>
      <c r="E27" t="s">
        <v>428</v>
      </c>
    </row>
    <row r="28" spans="1:5">
      <c r="A28" t="s">
        <v>280</v>
      </c>
      <c r="B28" t="s">
        <v>343</v>
      </c>
      <c r="C28" t="s">
        <v>389</v>
      </c>
    </row>
    <row r="30" spans="1:5">
      <c r="A30" t="s">
        <v>281</v>
      </c>
    </row>
    <row r="31" spans="1:5">
      <c r="A31" t="s">
        <v>282</v>
      </c>
      <c r="B31" t="s">
        <v>333</v>
      </c>
      <c r="C31" t="s">
        <v>383</v>
      </c>
      <c r="D31" t="s">
        <v>411</v>
      </c>
    </row>
    <row r="32" spans="1:5">
      <c r="A32" t="s">
        <v>283</v>
      </c>
      <c r="B32" t="s">
        <v>344</v>
      </c>
      <c r="C32">
        <f>(B37*10)</f>
        <v>0</v>
      </c>
      <c r="D32" t="s">
        <v>412</v>
      </c>
    </row>
    <row r="33" spans="1:5">
      <c r="A33" t="s">
        <v>284</v>
      </c>
      <c r="B33" t="s">
        <v>345</v>
      </c>
      <c r="C33">
        <f>((B37*B43)-SUM(B39:B42))</f>
        <v>0</v>
      </c>
      <c r="D33" t="s">
        <v>413</v>
      </c>
    </row>
    <row r="34" spans="1:5">
      <c r="A34" t="s">
        <v>285</v>
      </c>
      <c r="B34" t="s">
        <v>346</v>
      </c>
      <c r="C34">
        <f>((B37*20)-SUM(B39:B42))</f>
        <v>0</v>
      </c>
      <c r="D34" t="s">
        <v>414</v>
      </c>
    </row>
    <row r="35" spans="1:5">
      <c r="A35" t="s">
        <v>286</v>
      </c>
      <c r="B35" t="s">
        <v>347</v>
      </c>
      <c r="C35">
        <f>MAX(B45,B46,B47)</f>
        <v>0</v>
      </c>
      <c r="D35" t="s">
        <v>415</v>
      </c>
    </row>
    <row r="36" spans="1:5">
      <c r="A36" t="s">
        <v>287</v>
      </c>
      <c r="B36" t="s">
        <v>348</v>
      </c>
      <c r="C36" t="s">
        <v>390</v>
      </c>
    </row>
    <row r="37" spans="1:5">
      <c r="A37" t="s">
        <v>288</v>
      </c>
      <c r="B37">
        <f>MAX(0,B49-B50)</f>
        <v>0</v>
      </c>
      <c r="C37" t="s">
        <v>391</v>
      </c>
    </row>
    <row r="38" spans="1:5">
      <c r="A38" t="s">
        <v>289</v>
      </c>
      <c r="B38">
        <f>IF(B49&gt;B50,"Increase","Adequate")</f>
        <v>0</v>
      </c>
    </row>
    <row r="40" spans="1:5">
      <c r="A40" t="s">
        <v>290</v>
      </c>
    </row>
    <row r="41" spans="1:5">
      <c r="A41" t="s">
        <v>262</v>
      </c>
      <c r="B41" t="s">
        <v>328</v>
      </c>
      <c r="C41" t="s">
        <v>378</v>
      </c>
      <c r="D41" t="s">
        <v>409</v>
      </c>
      <c r="E41" t="s">
        <v>411</v>
      </c>
    </row>
    <row r="42" spans="1:5">
      <c r="A42" t="s">
        <v>291</v>
      </c>
      <c r="B42" t="s">
        <v>342</v>
      </c>
      <c r="C42" t="s">
        <v>392</v>
      </c>
    </row>
    <row r="43" spans="1:5">
      <c r="A43" t="s">
        <v>292</v>
      </c>
      <c r="B43" t="s">
        <v>329</v>
      </c>
      <c r="C43" t="s">
        <v>392</v>
      </c>
    </row>
    <row r="44" spans="1:5">
      <c r="A44" t="s">
        <v>293</v>
      </c>
      <c r="B44" t="s">
        <v>178</v>
      </c>
      <c r="C44" t="s">
        <v>393</v>
      </c>
    </row>
    <row r="45" spans="1:5">
      <c r="A45" t="s">
        <v>294</v>
      </c>
      <c r="B45" t="s">
        <v>349</v>
      </c>
      <c r="C45" t="s">
        <v>394</v>
      </c>
    </row>
    <row r="46" spans="1:5">
      <c r="A46" t="s">
        <v>295</v>
      </c>
      <c r="B46" t="s">
        <v>350</v>
      </c>
      <c r="C46" t="s">
        <v>395</v>
      </c>
    </row>
    <row r="48" spans="1:5">
      <c r="A48" t="s">
        <v>296</v>
      </c>
    </row>
    <row r="49" spans="1:5">
      <c r="A49" t="s">
        <v>297</v>
      </c>
      <c r="B49" t="s">
        <v>333</v>
      </c>
      <c r="C49" t="s">
        <v>396</v>
      </c>
      <c r="D49" t="s">
        <v>416</v>
      </c>
      <c r="E49" t="s">
        <v>411</v>
      </c>
    </row>
    <row r="50" spans="1:5">
      <c r="A50" t="s">
        <v>298</v>
      </c>
      <c r="B50" t="s">
        <v>351</v>
      </c>
      <c r="C50">
        <f>(B60+B61)*0.035</f>
        <v>0</v>
      </c>
      <c r="D50">
        <f>80000</f>
        <v>0</v>
      </c>
      <c r="E50" t="s">
        <v>429</v>
      </c>
    </row>
    <row r="51" spans="1:5">
      <c r="A51" t="s">
        <v>299</v>
      </c>
      <c r="B51" t="s">
        <v>352</v>
      </c>
      <c r="C51" t="s">
        <v>193</v>
      </c>
      <c r="D51">
        <f>5000</f>
        <v>0</v>
      </c>
      <c r="E51" t="s">
        <v>430</v>
      </c>
    </row>
    <row r="52" spans="1:5">
      <c r="A52" t="s">
        <v>300</v>
      </c>
      <c r="B52" t="s">
        <v>353</v>
      </c>
      <c r="C52">
        <f>B70+B71</f>
        <v>0</v>
      </c>
      <c r="D52">
        <f>85000</f>
        <v>0</v>
      </c>
      <c r="E52" t="s">
        <v>431</v>
      </c>
    </row>
    <row r="53" spans="1:5">
      <c r="A53" t="s">
        <v>301</v>
      </c>
      <c r="B53" t="s">
        <v>354</v>
      </c>
      <c r="C53">
        <f>B72*0.20</f>
        <v>0</v>
      </c>
      <c r="D53">
        <f>17000</f>
        <v>0</v>
      </c>
      <c r="E53" t="s">
        <v>432</v>
      </c>
    </row>
    <row r="54" spans="1:5">
      <c r="A54" t="s">
        <v>302</v>
      </c>
      <c r="B54" t="s">
        <v>355</v>
      </c>
      <c r="C54" t="s">
        <v>193</v>
      </c>
      <c r="D54">
        <f>5000</f>
        <v>0</v>
      </c>
      <c r="E54" t="s">
        <v>433</v>
      </c>
    </row>
    <row r="55" spans="1:5">
      <c r="A55" t="s">
        <v>303</v>
      </c>
      <c r="B55" t="s">
        <v>356</v>
      </c>
      <c r="C55">
        <f>B72-B74+B75</f>
        <v>0</v>
      </c>
      <c r="D55">
        <f>73000</f>
        <v>0</v>
      </c>
      <c r="E55" t="s">
        <v>434</v>
      </c>
    </row>
    <row r="57" spans="1:5">
      <c r="A57" t="s">
        <v>304</v>
      </c>
    </row>
    <row r="58" spans="1:5">
      <c r="A58" t="s">
        <v>262</v>
      </c>
      <c r="B58" t="s">
        <v>328</v>
      </c>
      <c r="C58" t="s">
        <v>378</v>
      </c>
      <c r="D58" t="s">
        <v>409</v>
      </c>
      <c r="E58" t="s">
        <v>411</v>
      </c>
    </row>
    <row r="59" spans="1:5">
      <c r="A59" t="s">
        <v>305</v>
      </c>
      <c r="B59" t="s">
        <v>357</v>
      </c>
      <c r="C59" t="s">
        <v>397</v>
      </c>
      <c r="E59" t="s">
        <v>435</v>
      </c>
    </row>
    <row r="60" spans="1:5">
      <c r="A60" t="s">
        <v>306</v>
      </c>
      <c r="B60" t="s">
        <v>358</v>
      </c>
      <c r="C60" t="s">
        <v>398</v>
      </c>
    </row>
    <row r="61" spans="1:5">
      <c r="A61" t="s">
        <v>307</v>
      </c>
      <c r="B61" t="s">
        <v>329</v>
      </c>
      <c r="C61" t="s">
        <v>399</v>
      </c>
    </row>
    <row r="62" spans="1:5">
      <c r="A62" t="s">
        <v>308</v>
      </c>
      <c r="B62" t="s">
        <v>359</v>
      </c>
      <c r="C62" t="s">
        <v>400</v>
      </c>
      <c r="E62" t="s">
        <v>436</v>
      </c>
    </row>
    <row r="63" spans="1:5">
      <c r="A63" t="s">
        <v>309</v>
      </c>
      <c r="B63" t="s">
        <v>360</v>
      </c>
      <c r="C63" t="s">
        <v>401</v>
      </c>
    </row>
    <row r="65" spans="1:5">
      <c r="A65" t="s">
        <v>310</v>
      </c>
    </row>
    <row r="66" spans="1:5">
      <c r="A66" t="s">
        <v>10</v>
      </c>
      <c r="B66" t="s">
        <v>333</v>
      </c>
      <c r="C66" t="s">
        <v>383</v>
      </c>
      <c r="D66" t="s">
        <v>410</v>
      </c>
      <c r="E66" t="s">
        <v>44</v>
      </c>
    </row>
    <row r="67" spans="1:5">
      <c r="A67" t="s">
        <v>311</v>
      </c>
      <c r="B67" t="s">
        <v>361</v>
      </c>
      <c r="C67">
        <f>B81</f>
        <v>0</v>
      </c>
      <c r="D67">
        <f>B81</f>
        <v>0</v>
      </c>
      <c r="E67">
        <f>IF(D91&gt;=B91,"✓ Adequate","Gap")</f>
        <v>0</v>
      </c>
    </row>
    <row r="68" spans="1:5">
      <c r="A68" t="s">
        <v>312</v>
      </c>
      <c r="B68" t="s">
        <v>362</v>
      </c>
      <c r="C68">
        <f>B82</f>
        <v>0</v>
      </c>
      <c r="D68">
        <f>B82</f>
        <v>0</v>
      </c>
      <c r="E68">
        <f>IF(D92&gt;=B92,"✓ Adequate","Gap")</f>
        <v>0</v>
      </c>
    </row>
    <row r="69" spans="1:5">
      <c r="A69" t="s">
        <v>313</v>
      </c>
      <c r="B69" t="s">
        <v>363</v>
      </c>
      <c r="C69" t="s">
        <v>31</v>
      </c>
      <c r="D69">
        <f>2000000</f>
        <v>0</v>
      </c>
      <c r="E69">
        <f>IF(D93&gt;=B93,"✓ Adequate","Gap")</f>
        <v>0</v>
      </c>
    </row>
    <row r="70" spans="1:5">
      <c r="A70" t="s">
        <v>314</v>
      </c>
      <c r="B70" t="s">
        <v>364</v>
      </c>
      <c r="C70" t="s">
        <v>29</v>
      </c>
      <c r="D70">
        <f>500000</f>
        <v>0</v>
      </c>
      <c r="E70" t="s">
        <v>437</v>
      </c>
    </row>
    <row r="71" spans="1:5">
      <c r="A71" t="s">
        <v>315</v>
      </c>
      <c r="B71" t="s">
        <v>365</v>
      </c>
      <c r="C71">
        <f>B91+B92+B93</f>
        <v>0</v>
      </c>
      <c r="D71">
        <f>B81+B82+2000000</f>
        <v>0</v>
      </c>
      <c r="E71" t="s">
        <v>438</v>
      </c>
    </row>
    <row r="72" spans="1:5">
      <c r="A72" t="s">
        <v>316</v>
      </c>
      <c r="B72" t="s">
        <v>366</v>
      </c>
      <c r="C72">
        <f>(B95*0.005)</f>
        <v>0</v>
      </c>
      <c r="D72">
        <f>25000</f>
        <v>0</v>
      </c>
      <c r="E72" t="s">
        <v>439</v>
      </c>
    </row>
    <row r="74" spans="1:5">
      <c r="A74" t="s">
        <v>317</v>
      </c>
    </row>
    <row r="75" spans="1:5">
      <c r="A75" t="s">
        <v>262</v>
      </c>
      <c r="B75" t="s">
        <v>328</v>
      </c>
      <c r="C75" t="s">
        <v>378</v>
      </c>
      <c r="D75" t="s">
        <v>409</v>
      </c>
      <c r="E75" t="s">
        <v>411</v>
      </c>
    </row>
    <row r="76" spans="1:5">
      <c r="A76" t="s">
        <v>318</v>
      </c>
      <c r="B76" t="s">
        <v>367</v>
      </c>
      <c r="C76" t="s">
        <v>402</v>
      </c>
    </row>
    <row r="77" spans="1:5">
      <c r="A77" t="s">
        <v>275</v>
      </c>
      <c r="B77" t="s">
        <v>331</v>
      </c>
      <c r="C77" t="s">
        <v>403</v>
      </c>
    </row>
    <row r="78" spans="1:5">
      <c r="A78" t="s">
        <v>319</v>
      </c>
      <c r="B78" t="s">
        <v>368</v>
      </c>
      <c r="C78" t="s">
        <v>404</v>
      </c>
    </row>
    <row r="79" spans="1:5">
      <c r="A79" t="s">
        <v>320</v>
      </c>
      <c r="B79" t="s">
        <v>369</v>
      </c>
      <c r="C79" t="s">
        <v>405</v>
      </c>
    </row>
    <row r="80" spans="1:5">
      <c r="A80" t="s">
        <v>321</v>
      </c>
      <c r="B80" t="s">
        <v>370</v>
      </c>
      <c r="C80" t="s">
        <v>406</v>
      </c>
    </row>
    <row r="81" spans="1:4">
      <c r="A81" t="s">
        <v>322</v>
      </c>
      <c r="B81" t="s">
        <v>371</v>
      </c>
      <c r="C81" t="s">
        <v>407</v>
      </c>
    </row>
    <row r="83" spans="1:4">
      <c r="A83" t="s">
        <v>323</v>
      </c>
    </row>
    <row r="84" spans="1:4">
      <c r="A84" t="s">
        <v>10</v>
      </c>
      <c r="B84" t="s">
        <v>333</v>
      </c>
      <c r="C84" t="s">
        <v>383</v>
      </c>
      <c r="D84" t="s">
        <v>411</v>
      </c>
    </row>
    <row r="85" spans="1:4">
      <c r="A85" t="s">
        <v>242</v>
      </c>
      <c r="B85" t="s">
        <v>372</v>
      </c>
      <c r="C85">
        <f>B107*12*7</f>
        <v>0</v>
      </c>
      <c r="D85" t="s">
        <v>417</v>
      </c>
    </row>
    <row r="86" spans="1:4">
      <c r="A86" t="s">
        <v>324</v>
      </c>
      <c r="B86" t="s">
        <v>373</v>
      </c>
      <c r="C86">
        <f>(B107*12*7*0.50)</f>
        <v>0</v>
      </c>
      <c r="D86" t="s">
        <v>418</v>
      </c>
    </row>
    <row r="87" spans="1:4">
      <c r="A87" t="s">
        <v>325</v>
      </c>
      <c r="B87" t="s">
        <v>374</v>
      </c>
      <c r="C87">
        <f>B112*365</f>
        <v>0</v>
      </c>
      <c r="D87" t="s">
        <v>419</v>
      </c>
    </row>
    <row r="88" spans="1:4">
      <c r="A88" t="s">
        <v>326</v>
      </c>
      <c r="B88" t="s">
        <v>375</v>
      </c>
      <c r="C88" t="s">
        <v>29</v>
      </c>
      <c r="D88" t="s">
        <v>420</v>
      </c>
    </row>
    <row r="89" spans="1:4">
      <c r="A89" t="s">
        <v>327</v>
      </c>
      <c r="B89" t="s">
        <v>376</v>
      </c>
      <c r="C89">
        <f>(B107*12*5)</f>
        <v>0</v>
      </c>
      <c r="D89" t="s">
        <v>421</v>
      </c>
    </row>
    <row r="90" spans="1:4">
      <c r="A90" t="s">
        <v>287</v>
      </c>
      <c r="B90" t="s">
        <v>377</v>
      </c>
      <c r="C90" t="s">
        <v>390</v>
      </c>
    </row>
    <row r="91" spans="1:4">
      <c r="A91" t="s">
        <v>288</v>
      </c>
      <c r="B91">
        <f>MAX(0,B119-B120)</f>
        <v>0</v>
      </c>
      <c r="C91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50.7109375" customWidth="1"/>
    <col min="2" max="2" width="40.7109375" customWidth="1"/>
    <col min="3" max="3" width="27.7109375" customWidth="1"/>
    <col min="4" max="4" width="26.7109375" customWidth="1"/>
    <col min="5" max="5" width="27.7109375" customWidth="1"/>
    <col min="6" max="6" width="29.7109375" customWidth="1"/>
    <col min="7" max="7" width="19.7109375" customWidth="1"/>
  </cols>
  <sheetData>
    <row r="1" spans="1:7">
      <c r="A1" t="s">
        <v>614</v>
      </c>
    </row>
    <row r="3" spans="1:7">
      <c r="A3" t="s">
        <v>441</v>
      </c>
    </row>
    <row r="5" spans="1:7">
      <c r="A5" t="s">
        <v>442</v>
      </c>
    </row>
    <row r="6" spans="1:7">
      <c r="A6" t="s">
        <v>443</v>
      </c>
      <c r="B6" t="s">
        <v>12</v>
      </c>
      <c r="C6" t="s">
        <v>479</v>
      </c>
      <c r="D6" t="s">
        <v>33</v>
      </c>
      <c r="E6" t="s">
        <v>43</v>
      </c>
      <c r="F6" t="s">
        <v>41</v>
      </c>
      <c r="G6" t="s">
        <v>602</v>
      </c>
    </row>
    <row r="7" spans="1:7">
      <c r="A7" t="s">
        <v>444</v>
      </c>
      <c r="B7" t="s">
        <v>88</v>
      </c>
      <c r="C7" t="s">
        <v>502</v>
      </c>
      <c r="D7" t="s">
        <v>201</v>
      </c>
      <c r="E7" t="s">
        <v>529</v>
      </c>
      <c r="F7" t="s">
        <v>182</v>
      </c>
      <c r="G7" t="s">
        <v>603</v>
      </c>
    </row>
    <row r="8" spans="1:7">
      <c r="A8" t="s">
        <v>445</v>
      </c>
      <c r="B8" t="s">
        <v>86</v>
      </c>
      <c r="C8" t="s">
        <v>502</v>
      </c>
      <c r="D8" t="s">
        <v>199</v>
      </c>
      <c r="E8" t="s">
        <v>530</v>
      </c>
      <c r="F8" t="s">
        <v>180</v>
      </c>
      <c r="G8" t="s">
        <v>604</v>
      </c>
    </row>
    <row r="9" spans="1:7">
      <c r="A9" t="s">
        <v>445</v>
      </c>
      <c r="B9" t="s">
        <v>109</v>
      </c>
      <c r="C9" t="s">
        <v>6</v>
      </c>
      <c r="D9" t="s">
        <v>211</v>
      </c>
      <c r="E9" t="s">
        <v>531</v>
      </c>
      <c r="F9" t="s">
        <v>191</v>
      </c>
      <c r="G9" t="s">
        <v>604</v>
      </c>
    </row>
    <row r="10" spans="1:7">
      <c r="A10" t="s">
        <v>445</v>
      </c>
      <c r="B10" t="s">
        <v>452</v>
      </c>
      <c r="C10" t="s">
        <v>503</v>
      </c>
      <c r="D10" t="s">
        <v>199</v>
      </c>
      <c r="E10" t="s">
        <v>530</v>
      </c>
      <c r="F10" t="s">
        <v>209</v>
      </c>
      <c r="G10" t="s">
        <v>604</v>
      </c>
    </row>
    <row r="11" spans="1:7">
      <c r="A11" t="s">
        <v>446</v>
      </c>
      <c r="B11" t="s">
        <v>84</v>
      </c>
      <c r="C11" t="s">
        <v>502</v>
      </c>
      <c r="D11" t="s">
        <v>197</v>
      </c>
      <c r="E11" t="s">
        <v>532</v>
      </c>
      <c r="F11" t="s">
        <v>178</v>
      </c>
      <c r="G11" t="s">
        <v>605</v>
      </c>
    </row>
    <row r="12" spans="1:7">
      <c r="A12" t="s">
        <v>446</v>
      </c>
      <c r="B12" t="s">
        <v>453</v>
      </c>
      <c r="C12" t="s">
        <v>503</v>
      </c>
      <c r="D12" t="s">
        <v>218</v>
      </c>
      <c r="E12" t="s">
        <v>533</v>
      </c>
      <c r="F12" t="s">
        <v>183</v>
      </c>
      <c r="G12" t="s">
        <v>605</v>
      </c>
    </row>
    <row r="13" spans="1:7">
      <c r="A13" t="s">
        <v>446</v>
      </c>
      <c r="B13" t="s">
        <v>454</v>
      </c>
      <c r="C13" t="s">
        <v>504</v>
      </c>
      <c r="D13" t="s">
        <v>223</v>
      </c>
      <c r="E13" t="s">
        <v>534</v>
      </c>
      <c r="F13" t="s">
        <v>210</v>
      </c>
      <c r="G13" t="s">
        <v>605</v>
      </c>
    </row>
    <row r="14" spans="1:7">
      <c r="A14" t="s">
        <v>447</v>
      </c>
      <c r="B14" t="s">
        <v>85</v>
      </c>
      <c r="C14" t="s">
        <v>502</v>
      </c>
      <c r="D14" t="s">
        <v>212</v>
      </c>
      <c r="E14" t="s">
        <v>555</v>
      </c>
      <c r="F14" t="s">
        <v>179</v>
      </c>
      <c r="G14" t="s">
        <v>606</v>
      </c>
    </row>
    <row r="15" spans="1:7">
      <c r="A15" t="s">
        <v>447</v>
      </c>
      <c r="B15" t="s">
        <v>87</v>
      </c>
      <c r="C15" t="s">
        <v>502</v>
      </c>
      <c r="D15" t="s">
        <v>200</v>
      </c>
      <c r="E15" t="s">
        <v>556</v>
      </c>
      <c r="F15" t="s">
        <v>181</v>
      </c>
      <c r="G15" t="s">
        <v>606</v>
      </c>
    </row>
    <row r="16" spans="1:7">
      <c r="A16" t="s">
        <v>447</v>
      </c>
      <c r="B16" t="s">
        <v>110</v>
      </c>
      <c r="C16" t="s">
        <v>6</v>
      </c>
      <c r="D16" t="s">
        <v>212</v>
      </c>
      <c r="E16" t="s">
        <v>555</v>
      </c>
      <c r="F16" t="s">
        <v>192</v>
      </c>
      <c r="G16" t="s">
        <v>606</v>
      </c>
    </row>
    <row r="17" spans="1:7">
      <c r="A17" t="s">
        <v>447</v>
      </c>
      <c r="B17" t="s">
        <v>104</v>
      </c>
      <c r="C17" t="s">
        <v>504</v>
      </c>
      <c r="D17" t="s">
        <v>212</v>
      </c>
      <c r="E17" t="s">
        <v>555</v>
      </c>
      <c r="F17" t="s">
        <v>182</v>
      </c>
      <c r="G17" t="s">
        <v>606</v>
      </c>
    </row>
    <row r="18" spans="1:7">
      <c r="A18" t="s">
        <v>448</v>
      </c>
      <c r="B18" t="s">
        <v>106</v>
      </c>
      <c r="C18" t="s">
        <v>504</v>
      </c>
      <c r="D18" t="s">
        <v>222</v>
      </c>
      <c r="E18" t="s">
        <v>557</v>
      </c>
      <c r="F18" t="s">
        <v>180</v>
      </c>
      <c r="G18" t="s">
        <v>606</v>
      </c>
    </row>
    <row r="19" spans="1:7">
      <c r="A19" t="s">
        <v>448</v>
      </c>
      <c r="B19" t="s">
        <v>478</v>
      </c>
      <c r="C19" t="s">
        <v>503</v>
      </c>
      <c r="D19" t="s">
        <v>219</v>
      </c>
      <c r="E19" t="s">
        <v>558</v>
      </c>
      <c r="F19" t="s">
        <v>209</v>
      </c>
      <c r="G19" t="s">
        <v>606</v>
      </c>
    </row>
    <row r="20" spans="1:7">
      <c r="A20" t="s">
        <v>448</v>
      </c>
      <c r="B20" t="s">
        <v>112</v>
      </c>
      <c r="C20" t="s">
        <v>6</v>
      </c>
      <c r="D20" t="s">
        <v>214</v>
      </c>
      <c r="E20" t="s">
        <v>559</v>
      </c>
      <c r="F20" t="s">
        <v>194</v>
      </c>
      <c r="G20" t="s">
        <v>606</v>
      </c>
    </row>
    <row r="21" spans="1:7">
      <c r="A21" t="s">
        <v>449</v>
      </c>
      <c r="B21" t="s">
        <v>453</v>
      </c>
      <c r="C21" t="s">
        <v>503</v>
      </c>
      <c r="D21" t="s">
        <v>216</v>
      </c>
      <c r="E21" t="s">
        <v>560</v>
      </c>
      <c r="F21" t="s">
        <v>183</v>
      </c>
      <c r="G21" t="s">
        <v>607</v>
      </c>
    </row>
    <row r="22" spans="1:7">
      <c r="A22" t="s">
        <v>449</v>
      </c>
      <c r="B22" t="s">
        <v>103</v>
      </c>
      <c r="C22" t="s">
        <v>504</v>
      </c>
      <c r="D22" t="s">
        <v>220</v>
      </c>
      <c r="E22" t="s">
        <v>561</v>
      </c>
      <c r="F22" t="s">
        <v>179</v>
      </c>
      <c r="G22" t="s">
        <v>607</v>
      </c>
    </row>
    <row r="24" spans="1:7">
      <c r="A24" t="s">
        <v>450</v>
      </c>
    </row>
    <row r="25" spans="1:7">
      <c r="A25" t="s">
        <v>12</v>
      </c>
      <c r="B25" t="s">
        <v>479</v>
      </c>
      <c r="C25" t="s">
        <v>33</v>
      </c>
      <c r="D25" t="s">
        <v>528</v>
      </c>
      <c r="E25" t="s">
        <v>55</v>
      </c>
      <c r="F25" t="s">
        <v>46</v>
      </c>
      <c r="G25" t="s">
        <v>44</v>
      </c>
    </row>
    <row r="26" spans="1:7">
      <c r="A26" t="s">
        <v>88</v>
      </c>
      <c r="B26" t="s">
        <v>2</v>
      </c>
      <c r="C26" t="s">
        <v>201</v>
      </c>
      <c r="D26" t="s">
        <v>529</v>
      </c>
      <c r="E26" t="s">
        <v>182</v>
      </c>
      <c r="F26" t="s">
        <v>581</v>
      </c>
      <c r="G26" t="s">
        <v>608</v>
      </c>
    </row>
    <row r="28" spans="1:7">
      <c r="A28" t="s">
        <v>451</v>
      </c>
    </row>
    <row r="29" spans="1:7">
      <c r="A29" t="s">
        <v>12</v>
      </c>
      <c r="B29" t="s">
        <v>479</v>
      </c>
      <c r="C29" t="s">
        <v>33</v>
      </c>
      <c r="D29" t="s">
        <v>528</v>
      </c>
      <c r="E29" t="s">
        <v>55</v>
      </c>
      <c r="F29" t="s">
        <v>582</v>
      </c>
      <c r="G29" t="s">
        <v>609</v>
      </c>
    </row>
    <row r="30" spans="1:7">
      <c r="A30" t="s">
        <v>86</v>
      </c>
      <c r="B30" t="s">
        <v>2</v>
      </c>
      <c r="C30" t="s">
        <v>199</v>
      </c>
      <c r="D30" t="s">
        <v>530</v>
      </c>
      <c r="E30" t="s">
        <v>180</v>
      </c>
      <c r="F30" t="s">
        <v>583</v>
      </c>
      <c r="G30" t="s">
        <v>610</v>
      </c>
    </row>
    <row r="31" spans="1:7">
      <c r="A31" t="s">
        <v>109</v>
      </c>
      <c r="B31" t="s">
        <v>6</v>
      </c>
      <c r="C31" t="s">
        <v>211</v>
      </c>
      <c r="D31" t="s">
        <v>531</v>
      </c>
      <c r="E31" t="s">
        <v>191</v>
      </c>
      <c r="F31" t="s">
        <v>584</v>
      </c>
      <c r="G31" t="s">
        <v>611</v>
      </c>
    </row>
    <row r="32" spans="1:7">
      <c r="A32" t="s">
        <v>452</v>
      </c>
      <c r="B32" t="s">
        <v>4</v>
      </c>
      <c r="C32" t="s">
        <v>199</v>
      </c>
      <c r="D32" t="s">
        <v>530</v>
      </c>
      <c r="E32" t="s">
        <v>209</v>
      </c>
      <c r="F32" t="s">
        <v>585</v>
      </c>
      <c r="G32" t="s">
        <v>612</v>
      </c>
    </row>
    <row r="33" spans="1:7">
      <c r="A33" t="s">
        <v>84</v>
      </c>
      <c r="B33" t="s">
        <v>2</v>
      </c>
      <c r="C33" t="s">
        <v>197</v>
      </c>
      <c r="D33" t="s">
        <v>532</v>
      </c>
      <c r="E33" t="s">
        <v>178</v>
      </c>
      <c r="F33" t="s">
        <v>586</v>
      </c>
      <c r="G33" t="s">
        <v>613</v>
      </c>
    </row>
    <row r="34" spans="1:7">
      <c r="A34" t="s">
        <v>453</v>
      </c>
      <c r="B34" t="s">
        <v>4</v>
      </c>
      <c r="C34" t="s">
        <v>218</v>
      </c>
      <c r="D34" t="s">
        <v>533</v>
      </c>
      <c r="E34" t="s">
        <v>183</v>
      </c>
      <c r="F34" t="s">
        <v>587</v>
      </c>
      <c r="G34" t="s">
        <v>611</v>
      </c>
    </row>
    <row r="35" spans="1:7">
      <c r="A35" t="s">
        <v>454</v>
      </c>
      <c r="B35" t="s">
        <v>5</v>
      </c>
      <c r="C35" t="s">
        <v>223</v>
      </c>
      <c r="D35" t="s">
        <v>534</v>
      </c>
      <c r="E35" t="s">
        <v>210</v>
      </c>
      <c r="F35" t="s">
        <v>588</v>
      </c>
      <c r="G35" t="s">
        <v>79</v>
      </c>
    </row>
    <row r="37" spans="1:7">
      <c r="A37" t="s">
        <v>455</v>
      </c>
    </row>
    <row r="38" spans="1:7">
      <c r="A38" t="s">
        <v>456</v>
      </c>
      <c r="B38" t="s">
        <v>480</v>
      </c>
      <c r="C38" t="s">
        <v>505</v>
      </c>
      <c r="D38" t="s">
        <v>535</v>
      </c>
      <c r="E38" t="s">
        <v>562</v>
      </c>
      <c r="F38" t="s">
        <v>589</v>
      </c>
    </row>
    <row r="39" spans="1:7">
      <c r="A39" t="s">
        <v>2</v>
      </c>
      <c r="B39" t="s">
        <v>481</v>
      </c>
      <c r="C39" t="s">
        <v>506</v>
      </c>
      <c r="D39" t="s">
        <v>536</v>
      </c>
      <c r="E39" t="s">
        <v>563</v>
      </c>
      <c r="F39" t="s">
        <v>590</v>
      </c>
    </row>
    <row r="40" spans="1:7">
      <c r="A40" t="s">
        <v>3</v>
      </c>
      <c r="B40" t="s">
        <v>482</v>
      </c>
      <c r="C40" t="s">
        <v>507</v>
      </c>
      <c r="D40" t="s">
        <v>537</v>
      </c>
      <c r="E40" t="s">
        <v>563</v>
      </c>
      <c r="F40" t="s">
        <v>591</v>
      </c>
    </row>
    <row r="41" spans="1:7">
      <c r="A41" t="s">
        <v>4</v>
      </c>
      <c r="B41" t="s">
        <v>483</v>
      </c>
      <c r="C41" t="s">
        <v>508</v>
      </c>
      <c r="D41" t="s">
        <v>538</v>
      </c>
      <c r="E41" t="s">
        <v>563</v>
      </c>
      <c r="F41" t="s">
        <v>592</v>
      </c>
    </row>
    <row r="42" spans="1:7">
      <c r="A42" t="s">
        <v>5</v>
      </c>
      <c r="B42" t="s">
        <v>484</v>
      </c>
      <c r="C42" t="s">
        <v>509</v>
      </c>
      <c r="D42" t="s">
        <v>537</v>
      </c>
      <c r="E42" t="s">
        <v>563</v>
      </c>
      <c r="F42" t="s">
        <v>593</v>
      </c>
    </row>
    <row r="43" spans="1:7">
      <c r="A43" t="s">
        <v>6</v>
      </c>
      <c r="B43" t="s">
        <v>485</v>
      </c>
      <c r="C43" t="s">
        <v>510</v>
      </c>
      <c r="D43" t="s">
        <v>537</v>
      </c>
      <c r="E43" t="s">
        <v>563</v>
      </c>
      <c r="F43" t="s">
        <v>594</v>
      </c>
    </row>
    <row r="45" spans="1:7">
      <c r="A45" t="s">
        <v>457</v>
      </c>
    </row>
    <row r="46" spans="1:7">
      <c r="A46" t="s">
        <v>240</v>
      </c>
      <c r="B46" t="s">
        <v>486</v>
      </c>
      <c r="C46" t="s">
        <v>511</v>
      </c>
      <c r="D46" t="s">
        <v>539</v>
      </c>
      <c r="E46" t="s">
        <v>564</v>
      </c>
      <c r="F46" t="s">
        <v>75</v>
      </c>
    </row>
    <row r="47" spans="1:7">
      <c r="A47" t="s">
        <v>458</v>
      </c>
      <c r="B47" t="s">
        <v>178</v>
      </c>
      <c r="C47" t="s">
        <v>512</v>
      </c>
      <c r="D47">
        <f>B54*1.075</f>
        <v>0</v>
      </c>
      <c r="E47" t="s">
        <v>565</v>
      </c>
      <c r="F47" t="s">
        <v>595</v>
      </c>
    </row>
    <row r="48" spans="1:7">
      <c r="A48" t="s">
        <v>3</v>
      </c>
      <c r="B48" t="s">
        <v>184</v>
      </c>
      <c r="C48" t="s">
        <v>513</v>
      </c>
      <c r="D48">
        <f>B55*1.025</f>
        <v>0</v>
      </c>
      <c r="E48" t="s">
        <v>566</v>
      </c>
      <c r="F48" t="s">
        <v>596</v>
      </c>
    </row>
    <row r="49" spans="1:6">
      <c r="A49" t="s">
        <v>459</v>
      </c>
      <c r="B49" t="s">
        <v>183</v>
      </c>
      <c r="C49" t="s">
        <v>512</v>
      </c>
      <c r="D49">
        <f>B56*1.075</f>
        <v>0</v>
      </c>
      <c r="E49" t="s">
        <v>567</v>
      </c>
      <c r="F49" t="s">
        <v>597</v>
      </c>
    </row>
    <row r="50" spans="1:6">
      <c r="A50" t="s">
        <v>5</v>
      </c>
      <c r="B50" t="s">
        <v>179</v>
      </c>
      <c r="C50" t="s">
        <v>514</v>
      </c>
      <c r="D50">
        <f>B57*1.10</f>
        <v>0</v>
      </c>
      <c r="E50" t="s">
        <v>568</v>
      </c>
      <c r="F50" t="s">
        <v>598</v>
      </c>
    </row>
    <row r="51" spans="1:6">
      <c r="A51" t="s">
        <v>6</v>
      </c>
      <c r="B51" t="s">
        <v>191</v>
      </c>
      <c r="C51" t="s">
        <v>515</v>
      </c>
      <c r="D51">
        <f>B58*1.04</f>
        <v>0</v>
      </c>
      <c r="E51" t="s">
        <v>569</v>
      </c>
      <c r="F51" t="s">
        <v>599</v>
      </c>
    </row>
    <row r="52" spans="1:6">
      <c r="A52" t="s">
        <v>460</v>
      </c>
      <c r="B52">
        <f>SUM(B54:B58)</f>
        <v>0</v>
      </c>
      <c r="C52" t="s">
        <v>516</v>
      </c>
      <c r="D52">
        <f>SUM(C54:C58)</f>
        <v>0</v>
      </c>
      <c r="E52">
        <f>SUM(D54:D58)</f>
        <v>0</v>
      </c>
      <c r="F52" t="s">
        <v>600</v>
      </c>
    </row>
    <row r="54" spans="1:6">
      <c r="A54" t="s">
        <v>461</v>
      </c>
    </row>
    <row r="55" spans="1:6">
      <c r="A55" t="s">
        <v>443</v>
      </c>
      <c r="B55" t="s">
        <v>487</v>
      </c>
      <c r="C55" t="s">
        <v>517</v>
      </c>
      <c r="D55" t="s">
        <v>540</v>
      </c>
      <c r="E55" t="s">
        <v>570</v>
      </c>
      <c r="F55" t="s">
        <v>601</v>
      </c>
    </row>
    <row r="56" spans="1:6">
      <c r="A56" t="s">
        <v>462</v>
      </c>
      <c r="B56" t="s">
        <v>488</v>
      </c>
      <c r="C56" t="s">
        <v>518</v>
      </c>
      <c r="D56" t="s">
        <v>541</v>
      </c>
      <c r="E56" t="s">
        <v>571</v>
      </c>
      <c r="F56" t="s">
        <v>201</v>
      </c>
    </row>
    <row r="57" spans="1:6">
      <c r="A57" t="s">
        <v>463</v>
      </c>
      <c r="B57" t="s">
        <v>489</v>
      </c>
      <c r="C57" t="s">
        <v>519</v>
      </c>
      <c r="D57" t="s">
        <v>542</v>
      </c>
      <c r="E57" t="s">
        <v>211</v>
      </c>
      <c r="F57" t="s">
        <v>199</v>
      </c>
    </row>
    <row r="58" spans="1:6">
      <c r="A58" t="s">
        <v>464</v>
      </c>
      <c r="B58" t="s">
        <v>490</v>
      </c>
      <c r="C58" t="s">
        <v>520</v>
      </c>
      <c r="D58" t="s">
        <v>543</v>
      </c>
      <c r="E58" t="s">
        <v>218</v>
      </c>
      <c r="F58" t="s">
        <v>223</v>
      </c>
    </row>
    <row r="59" spans="1:6">
      <c r="A59" t="s">
        <v>465</v>
      </c>
      <c r="B59" t="s">
        <v>491</v>
      </c>
      <c r="C59" t="s">
        <v>197</v>
      </c>
      <c r="D59" t="s">
        <v>544</v>
      </c>
      <c r="E59" t="s">
        <v>521</v>
      </c>
      <c r="F59" t="s">
        <v>212</v>
      </c>
    </row>
    <row r="60" spans="1:6">
      <c r="A60" t="s">
        <v>466</v>
      </c>
      <c r="B60" t="s">
        <v>492</v>
      </c>
      <c r="C60" t="s">
        <v>521</v>
      </c>
      <c r="D60" t="s">
        <v>545</v>
      </c>
      <c r="E60" t="s">
        <v>198</v>
      </c>
      <c r="F60" t="s">
        <v>222</v>
      </c>
    </row>
    <row r="61" spans="1:6">
      <c r="A61" t="s">
        <v>467</v>
      </c>
      <c r="B61" t="s">
        <v>493</v>
      </c>
      <c r="C61" t="s">
        <v>198</v>
      </c>
      <c r="D61" t="s">
        <v>546</v>
      </c>
      <c r="E61" t="s">
        <v>572</v>
      </c>
      <c r="F61" t="s">
        <v>217</v>
      </c>
    </row>
    <row r="62" spans="1:6">
      <c r="A62" t="s">
        <v>468</v>
      </c>
      <c r="B62" t="s">
        <v>494</v>
      </c>
      <c r="C62" t="s">
        <v>522</v>
      </c>
      <c r="D62" t="s">
        <v>547</v>
      </c>
      <c r="E62" t="s">
        <v>573</v>
      </c>
      <c r="F62" t="s">
        <v>217</v>
      </c>
    </row>
    <row r="63" spans="1:6">
      <c r="A63" t="s">
        <v>469</v>
      </c>
    </row>
    <row r="65" spans="1:5">
      <c r="A65" t="s">
        <v>470</v>
      </c>
    </row>
    <row r="66" spans="1:5">
      <c r="A66" t="s">
        <v>471</v>
      </c>
      <c r="B66" t="s">
        <v>495</v>
      </c>
      <c r="C66" t="s">
        <v>523</v>
      </c>
      <c r="D66" t="s">
        <v>548</v>
      </c>
      <c r="E66" t="s">
        <v>574</v>
      </c>
    </row>
    <row r="67" spans="1:5">
      <c r="A67" t="s">
        <v>472</v>
      </c>
      <c r="B67" t="s">
        <v>496</v>
      </c>
      <c r="C67" t="s">
        <v>73</v>
      </c>
      <c r="D67" t="s">
        <v>549</v>
      </c>
      <c r="E67" t="s">
        <v>575</v>
      </c>
    </row>
    <row r="68" spans="1:5">
      <c r="A68" t="s">
        <v>473</v>
      </c>
      <c r="B68" t="s">
        <v>497</v>
      </c>
      <c r="C68" t="s">
        <v>524</v>
      </c>
      <c r="D68" t="s">
        <v>550</v>
      </c>
      <c r="E68" t="s">
        <v>576</v>
      </c>
    </row>
    <row r="69" spans="1:5">
      <c r="A69" t="s">
        <v>474</v>
      </c>
      <c r="B69" t="s">
        <v>498</v>
      </c>
      <c r="C69" t="s">
        <v>525</v>
      </c>
      <c r="D69" t="s">
        <v>551</v>
      </c>
      <c r="E69" t="s">
        <v>577</v>
      </c>
    </row>
    <row r="70" spans="1:5">
      <c r="A70" t="s">
        <v>475</v>
      </c>
      <c r="B70" t="s">
        <v>499</v>
      </c>
      <c r="C70" t="s">
        <v>526</v>
      </c>
      <c r="D70" t="s">
        <v>552</v>
      </c>
      <c r="E70" t="s">
        <v>578</v>
      </c>
    </row>
    <row r="71" spans="1:5">
      <c r="A71" t="s">
        <v>476</v>
      </c>
      <c r="B71" t="s">
        <v>500</v>
      </c>
      <c r="C71" t="s">
        <v>527</v>
      </c>
      <c r="D71" t="s">
        <v>553</v>
      </c>
      <c r="E71" t="s">
        <v>579</v>
      </c>
    </row>
    <row r="72" spans="1:5">
      <c r="A72" t="s">
        <v>477</v>
      </c>
      <c r="B72" t="s">
        <v>501</v>
      </c>
      <c r="C72" t="s">
        <v>73</v>
      </c>
      <c r="D72" t="s">
        <v>554</v>
      </c>
      <c r="E72" t="s">
        <v>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cols>
    <col min="1" max="1" width="50.7109375" customWidth="1"/>
    <col min="2" max="2" width="20.7109375" customWidth="1"/>
    <col min="3" max="3" width="32.7109375" customWidth="1"/>
    <col min="4" max="4" width="28.7109375" customWidth="1"/>
    <col min="5" max="5" width="27.7109375" customWidth="1"/>
    <col min="6" max="6" width="23.7109375" customWidth="1"/>
    <col min="7" max="7" width="15.7109375" customWidth="1"/>
  </cols>
  <sheetData>
    <row r="1" spans="1:7">
      <c r="A1" t="s">
        <v>768</v>
      </c>
    </row>
    <row r="3" spans="1:7">
      <c r="A3" t="s">
        <v>615</v>
      </c>
    </row>
    <row r="5" spans="1:7">
      <c r="A5" t="s">
        <v>616</v>
      </c>
    </row>
    <row r="6" spans="1:7">
      <c r="A6" t="s">
        <v>479</v>
      </c>
      <c r="B6" t="s">
        <v>647</v>
      </c>
      <c r="C6" t="s">
        <v>671</v>
      </c>
      <c r="D6" t="s">
        <v>699</v>
      </c>
      <c r="E6" t="s">
        <v>716</v>
      </c>
      <c r="F6" t="s">
        <v>743</v>
      </c>
    </row>
    <row r="7" spans="1:7">
      <c r="A7" t="s">
        <v>2</v>
      </c>
      <c r="B7" t="s">
        <v>349</v>
      </c>
      <c r="C7">
        <f>SUM('Policy Tracker'!E7:E11)</f>
        <v>0</v>
      </c>
      <c r="D7">
        <f>E8/D8</f>
        <v>0</v>
      </c>
      <c r="E7">
        <f>E8/SUM($E$8:$E$12)*100%</f>
        <v>0</v>
      </c>
      <c r="F7" t="s">
        <v>744</v>
      </c>
    </row>
    <row r="8" spans="1:7">
      <c r="A8" t="s">
        <v>3</v>
      </c>
      <c r="B8" t="s">
        <v>349</v>
      </c>
      <c r="C8">
        <f>SUM('Policy Tracker'!E12:E16)</f>
        <v>0</v>
      </c>
      <c r="D8">
        <f>E9/D9</f>
        <v>0</v>
      </c>
      <c r="E8">
        <f>E9/SUM($E$8:$E$12)*100%</f>
        <v>0</v>
      </c>
      <c r="F8" t="s">
        <v>745</v>
      </c>
    </row>
    <row r="9" spans="1:7">
      <c r="A9" t="s">
        <v>4</v>
      </c>
      <c r="B9" t="s">
        <v>349</v>
      </c>
      <c r="C9">
        <f>SUM('Policy Tracker'!E17:E21)</f>
        <v>0</v>
      </c>
      <c r="D9">
        <f>E10/D10</f>
        <v>0</v>
      </c>
      <c r="E9">
        <f>E10/SUM($E$8:$E$12)*100%</f>
        <v>0</v>
      </c>
      <c r="F9" t="s">
        <v>746</v>
      </c>
    </row>
    <row r="10" spans="1:7">
      <c r="A10" t="s">
        <v>5</v>
      </c>
      <c r="B10" t="s">
        <v>349</v>
      </c>
      <c r="C10">
        <f>SUM('Policy Tracker'!E22:E26)</f>
        <v>0</v>
      </c>
      <c r="D10">
        <f>E11/D11</f>
        <v>0</v>
      </c>
      <c r="E10">
        <f>E11/SUM($E$8:$E$12)*100%</f>
        <v>0</v>
      </c>
      <c r="F10" t="s">
        <v>747</v>
      </c>
    </row>
    <row r="11" spans="1:7">
      <c r="A11" t="s">
        <v>6</v>
      </c>
      <c r="B11" t="s">
        <v>349</v>
      </c>
      <c r="C11">
        <f>SUM('Policy Tracker'!E27:E31)</f>
        <v>0</v>
      </c>
      <c r="D11">
        <f>E12/D12</f>
        <v>0</v>
      </c>
      <c r="E11">
        <f>E12/SUM($E$8:$E$12)*100%</f>
        <v>0</v>
      </c>
      <c r="F11" t="s">
        <v>745</v>
      </c>
    </row>
    <row r="12" spans="1:7">
      <c r="A12" t="s">
        <v>617</v>
      </c>
      <c r="B12" t="s">
        <v>343</v>
      </c>
      <c r="C12">
        <f>SUM(E8:E12)</f>
        <v>0</v>
      </c>
      <c r="D12">
        <f>E13/D13</f>
        <v>0</v>
      </c>
      <c r="E12" t="s">
        <v>579</v>
      </c>
      <c r="F12" t="s">
        <v>748</v>
      </c>
    </row>
    <row r="14" spans="1:7">
      <c r="A14" t="s">
        <v>618</v>
      </c>
    </row>
    <row r="15" spans="1:7">
      <c r="A15" t="s">
        <v>619</v>
      </c>
      <c r="B15" t="s">
        <v>648</v>
      </c>
      <c r="C15" t="s">
        <v>672</v>
      </c>
      <c r="D15" t="s">
        <v>700</v>
      </c>
      <c r="E15" t="s">
        <v>717</v>
      </c>
      <c r="F15" t="s">
        <v>749</v>
      </c>
      <c r="G15" t="s">
        <v>767</v>
      </c>
    </row>
    <row r="16" spans="1:7">
      <c r="A16" t="s">
        <v>620</v>
      </c>
      <c r="B16">
        <f>E8/4</f>
        <v>0</v>
      </c>
      <c r="C16">
        <f>E9/4</f>
        <v>0</v>
      </c>
      <c r="D16">
        <f>E10/4</f>
        <v>0</v>
      </c>
      <c r="E16">
        <f>E11/4</f>
        <v>0</v>
      </c>
      <c r="F16">
        <f>E12/4</f>
        <v>0</v>
      </c>
      <c r="G16">
        <f>SUM(B20:F20)</f>
        <v>0</v>
      </c>
    </row>
    <row r="17" spans="1:7">
      <c r="A17" t="s">
        <v>621</v>
      </c>
      <c r="B17">
        <f>E8/4</f>
        <v>0</v>
      </c>
      <c r="C17">
        <f>E9/4</f>
        <v>0</v>
      </c>
      <c r="D17">
        <f>E10/4</f>
        <v>0</v>
      </c>
      <c r="E17">
        <f>E11/4</f>
        <v>0</v>
      </c>
      <c r="F17">
        <f>E12/4</f>
        <v>0</v>
      </c>
      <c r="G17">
        <f>SUM(B21:F21)</f>
        <v>0</v>
      </c>
    </row>
    <row r="18" spans="1:7">
      <c r="A18" t="s">
        <v>622</v>
      </c>
      <c r="B18">
        <f>E8/4</f>
        <v>0</v>
      </c>
      <c r="C18">
        <f>E9/4</f>
        <v>0</v>
      </c>
      <c r="D18">
        <f>E10/4</f>
        <v>0</v>
      </c>
      <c r="E18">
        <f>E11/4</f>
        <v>0</v>
      </c>
      <c r="F18">
        <f>E12/4</f>
        <v>0</v>
      </c>
      <c r="G18">
        <f>SUM(B22:F22)</f>
        <v>0</v>
      </c>
    </row>
    <row r="19" spans="1:7">
      <c r="A19" t="s">
        <v>623</v>
      </c>
      <c r="B19">
        <f>E8/4</f>
        <v>0</v>
      </c>
      <c r="C19">
        <f>E9/4</f>
        <v>0</v>
      </c>
      <c r="D19">
        <f>E10/4</f>
        <v>0</v>
      </c>
      <c r="E19">
        <f>E11/4</f>
        <v>0</v>
      </c>
      <c r="F19">
        <f>E12/4</f>
        <v>0</v>
      </c>
      <c r="G19">
        <f>SUM(B23:F23)</f>
        <v>0</v>
      </c>
    </row>
    <row r="20" spans="1:7">
      <c r="A20" t="s">
        <v>624</v>
      </c>
      <c r="B20">
        <f>SUM(B20:B23)</f>
        <v>0</v>
      </c>
      <c r="C20">
        <f>SUM(C20:C23)</f>
        <v>0</v>
      </c>
      <c r="D20">
        <f>SUM(D20:D23)</f>
        <v>0</v>
      </c>
      <c r="E20">
        <f>SUM(E20:E23)</f>
        <v>0</v>
      </c>
      <c r="F20">
        <f>SUM(F20:F23)</f>
        <v>0</v>
      </c>
      <c r="G20">
        <f>SUM(G20:G23)</f>
        <v>0</v>
      </c>
    </row>
    <row r="22" spans="1:7">
      <c r="A22" t="s">
        <v>625</v>
      </c>
    </row>
    <row r="23" spans="1:7">
      <c r="A23" t="s">
        <v>443</v>
      </c>
      <c r="B23" t="s">
        <v>649</v>
      </c>
      <c r="C23" t="s">
        <v>673</v>
      </c>
      <c r="D23" t="s">
        <v>701</v>
      </c>
      <c r="E23" t="s">
        <v>718</v>
      </c>
      <c r="F23" t="s">
        <v>44</v>
      </c>
    </row>
    <row r="24" spans="1:7">
      <c r="A24" t="s">
        <v>462</v>
      </c>
      <c r="B24">
        <f>E13/12</f>
        <v>0</v>
      </c>
      <c r="C24" t="s">
        <v>182</v>
      </c>
      <c r="D24">
        <f>B28+C28</f>
        <v>0</v>
      </c>
      <c r="E24">
        <f>D28</f>
        <v>0</v>
      </c>
    </row>
    <row r="25" spans="1:7">
      <c r="A25" t="s">
        <v>463</v>
      </c>
      <c r="B25">
        <f>E13/12</f>
        <v>0</v>
      </c>
      <c r="C25" t="s">
        <v>180</v>
      </c>
      <c r="D25">
        <f>B29+C29</f>
        <v>0</v>
      </c>
      <c r="E25">
        <f>D29</f>
        <v>0</v>
      </c>
    </row>
    <row r="26" spans="1:7">
      <c r="A26" t="s">
        <v>464</v>
      </c>
      <c r="B26">
        <f>E13/12</f>
        <v>0</v>
      </c>
      <c r="C26" t="s">
        <v>179</v>
      </c>
      <c r="D26">
        <f>B30+C30</f>
        <v>0</v>
      </c>
      <c r="E26">
        <f>D30</f>
        <v>0</v>
      </c>
    </row>
    <row r="27" spans="1:7">
      <c r="A27" t="s">
        <v>465</v>
      </c>
      <c r="B27">
        <f>E13/12</f>
        <v>0</v>
      </c>
      <c r="C27" t="s">
        <v>181</v>
      </c>
      <c r="D27">
        <f>B31+C31</f>
        <v>0</v>
      </c>
      <c r="E27">
        <f>D31</f>
        <v>0</v>
      </c>
    </row>
    <row r="28" spans="1:7">
      <c r="A28" t="s">
        <v>466</v>
      </c>
      <c r="B28">
        <f>E13/12</f>
        <v>0</v>
      </c>
      <c r="C28" t="s">
        <v>178</v>
      </c>
      <c r="D28">
        <f>B32+C32</f>
        <v>0</v>
      </c>
      <c r="E28">
        <f>D32</f>
        <v>0</v>
      </c>
    </row>
    <row r="29" spans="1:7">
      <c r="A29" t="s">
        <v>467</v>
      </c>
      <c r="B29">
        <f>E13/12</f>
        <v>0</v>
      </c>
      <c r="C29" t="s">
        <v>182</v>
      </c>
      <c r="D29">
        <f>B33+C33</f>
        <v>0</v>
      </c>
      <c r="E29">
        <f>D33</f>
        <v>0</v>
      </c>
    </row>
    <row r="30" spans="1:7">
      <c r="A30" t="s">
        <v>468</v>
      </c>
      <c r="B30">
        <f>E13/12</f>
        <v>0</v>
      </c>
      <c r="C30" t="s">
        <v>180</v>
      </c>
      <c r="D30">
        <f>B34+C34</f>
        <v>0</v>
      </c>
      <c r="E30">
        <f>D34</f>
        <v>0</v>
      </c>
    </row>
    <row r="31" spans="1:7">
      <c r="A31" t="s">
        <v>469</v>
      </c>
      <c r="B31">
        <f>E13/12</f>
        <v>0</v>
      </c>
      <c r="C31" t="s">
        <v>350</v>
      </c>
      <c r="D31">
        <f>B35+C35</f>
        <v>0</v>
      </c>
      <c r="E31">
        <f>D35</f>
        <v>0</v>
      </c>
    </row>
    <row r="32" spans="1:7">
      <c r="A32" t="s">
        <v>626</v>
      </c>
      <c r="B32">
        <f>E13/12</f>
        <v>0</v>
      </c>
      <c r="C32" t="s">
        <v>350</v>
      </c>
      <c r="D32">
        <f>B36+C36</f>
        <v>0</v>
      </c>
      <c r="E32">
        <f>D36</f>
        <v>0</v>
      </c>
    </row>
    <row r="33" spans="1:6">
      <c r="A33" t="s">
        <v>627</v>
      </c>
      <c r="B33">
        <f>E13/12</f>
        <v>0</v>
      </c>
      <c r="C33" t="s">
        <v>350</v>
      </c>
      <c r="D33">
        <f>B37+C37</f>
        <v>0</v>
      </c>
      <c r="E33">
        <f>D37</f>
        <v>0</v>
      </c>
    </row>
    <row r="34" spans="1:6">
      <c r="A34" t="s">
        <v>628</v>
      </c>
      <c r="B34">
        <f>E13/12</f>
        <v>0</v>
      </c>
      <c r="C34" t="s">
        <v>193</v>
      </c>
      <c r="D34">
        <f>B38+C38</f>
        <v>0</v>
      </c>
      <c r="E34">
        <f>D38</f>
        <v>0</v>
      </c>
    </row>
    <row r="35" spans="1:6">
      <c r="A35" t="s">
        <v>629</v>
      </c>
      <c r="B35">
        <f>E13/12</f>
        <v>0</v>
      </c>
      <c r="C35" t="s">
        <v>674</v>
      </c>
      <c r="D35">
        <f>B39+C39</f>
        <v>0</v>
      </c>
      <c r="E35">
        <f>D39</f>
        <v>0</v>
      </c>
    </row>
    <row r="36" spans="1:6">
      <c r="A36" t="s">
        <v>630</v>
      </c>
      <c r="B36">
        <f>SUM(B28:B39)</f>
        <v>0</v>
      </c>
      <c r="C36">
        <f>SUM(C28:C39)</f>
        <v>0</v>
      </c>
      <c r="D36">
        <f>SUM(D28:D39)</f>
        <v>0</v>
      </c>
      <c r="E36">
        <f>SUM(E28:E39)</f>
        <v>0</v>
      </c>
    </row>
    <row r="38" spans="1:6">
      <c r="A38" t="s">
        <v>631</v>
      </c>
    </row>
    <row r="39" spans="1:6">
      <c r="A39" t="s">
        <v>479</v>
      </c>
      <c r="B39" t="s">
        <v>650</v>
      </c>
      <c r="C39" t="s">
        <v>675</v>
      </c>
      <c r="D39" t="s">
        <v>702</v>
      </c>
      <c r="E39" t="s">
        <v>719</v>
      </c>
      <c r="F39" t="s">
        <v>750</v>
      </c>
    </row>
    <row r="40" spans="1:6">
      <c r="A40" t="s">
        <v>2</v>
      </c>
      <c r="B40" t="s">
        <v>651</v>
      </c>
      <c r="C40" t="s">
        <v>676</v>
      </c>
      <c r="D40" t="s">
        <v>659</v>
      </c>
      <c r="E40" t="s">
        <v>720</v>
      </c>
      <c r="F40" t="s">
        <v>751</v>
      </c>
    </row>
    <row r="41" spans="1:6">
      <c r="A41" t="s">
        <v>3</v>
      </c>
      <c r="B41" t="s">
        <v>652</v>
      </c>
      <c r="C41" t="s">
        <v>677</v>
      </c>
      <c r="D41" t="s">
        <v>668</v>
      </c>
      <c r="E41" t="s">
        <v>721</v>
      </c>
      <c r="F41" t="s">
        <v>752</v>
      </c>
    </row>
    <row r="42" spans="1:6">
      <c r="A42" t="s">
        <v>4</v>
      </c>
      <c r="B42" t="s">
        <v>653</v>
      </c>
      <c r="C42" t="s">
        <v>678</v>
      </c>
      <c r="D42" t="s">
        <v>657</v>
      </c>
      <c r="E42" t="s">
        <v>722</v>
      </c>
      <c r="F42" t="s">
        <v>753</v>
      </c>
    </row>
    <row r="43" spans="1:6">
      <c r="A43" t="s">
        <v>5</v>
      </c>
      <c r="B43" t="s">
        <v>654</v>
      </c>
      <c r="C43" t="s">
        <v>679</v>
      </c>
      <c r="D43" t="s">
        <v>669</v>
      </c>
      <c r="E43" t="s">
        <v>723</v>
      </c>
      <c r="F43" t="s">
        <v>754</v>
      </c>
    </row>
    <row r="44" spans="1:6">
      <c r="A44" t="s">
        <v>6</v>
      </c>
      <c r="B44" t="s">
        <v>184</v>
      </c>
      <c r="C44" t="s">
        <v>680</v>
      </c>
      <c r="D44" t="s">
        <v>670</v>
      </c>
      <c r="E44" t="s">
        <v>724</v>
      </c>
      <c r="F44" t="s">
        <v>755</v>
      </c>
    </row>
    <row r="45" spans="1:6">
      <c r="A45" t="s">
        <v>617</v>
      </c>
      <c r="B45" t="s">
        <v>655</v>
      </c>
      <c r="C45" t="s">
        <v>681</v>
      </c>
      <c r="D45" t="s">
        <v>658</v>
      </c>
      <c r="E45" t="s">
        <v>725</v>
      </c>
      <c r="F45" t="s">
        <v>756</v>
      </c>
    </row>
    <row r="47" spans="1:6">
      <c r="A47" t="s">
        <v>632</v>
      </c>
    </row>
    <row r="48" spans="1:6">
      <c r="A48" t="s">
        <v>633</v>
      </c>
      <c r="B48" t="s">
        <v>656</v>
      </c>
      <c r="C48" t="s">
        <v>682</v>
      </c>
      <c r="D48" t="s">
        <v>703</v>
      </c>
      <c r="E48" t="s">
        <v>726</v>
      </c>
      <c r="F48" t="s">
        <v>757</v>
      </c>
    </row>
    <row r="49" spans="1:6">
      <c r="A49" t="s">
        <v>634</v>
      </c>
      <c r="B49" t="s">
        <v>657</v>
      </c>
      <c r="C49" t="s">
        <v>512</v>
      </c>
      <c r="D49">
        <f>B56*0.075</f>
        <v>0</v>
      </c>
      <c r="E49" t="s">
        <v>727</v>
      </c>
      <c r="F49" t="s">
        <v>758</v>
      </c>
    </row>
    <row r="50" spans="1:6">
      <c r="A50" t="s">
        <v>473</v>
      </c>
      <c r="B50" t="s">
        <v>658</v>
      </c>
      <c r="C50" t="s">
        <v>683</v>
      </c>
      <c r="D50">
        <f>B57*0.065</f>
        <v>0</v>
      </c>
      <c r="E50" t="s">
        <v>728</v>
      </c>
      <c r="F50" t="s">
        <v>759</v>
      </c>
    </row>
    <row r="51" spans="1:6">
      <c r="A51" t="s">
        <v>635</v>
      </c>
      <c r="B51" t="s">
        <v>659</v>
      </c>
      <c r="C51" t="s">
        <v>684</v>
      </c>
      <c r="D51">
        <f>B58*0.125</f>
        <v>0</v>
      </c>
      <c r="E51" t="s">
        <v>729</v>
      </c>
      <c r="F51" t="s">
        <v>759</v>
      </c>
    </row>
    <row r="52" spans="1:6">
      <c r="A52" t="s">
        <v>636</v>
      </c>
      <c r="B52" t="s">
        <v>658</v>
      </c>
      <c r="C52" t="s">
        <v>515</v>
      </c>
      <c r="D52">
        <f>B59*0.04</f>
        <v>0</v>
      </c>
      <c r="E52" t="s">
        <v>730</v>
      </c>
      <c r="F52" t="s">
        <v>758</v>
      </c>
    </row>
    <row r="53" spans="1:6">
      <c r="A53" t="s">
        <v>637</v>
      </c>
      <c r="B53" t="s">
        <v>658</v>
      </c>
      <c r="C53" t="s">
        <v>685</v>
      </c>
      <c r="D53">
        <f>B60*0.035</f>
        <v>0</v>
      </c>
      <c r="E53" t="s">
        <v>731</v>
      </c>
      <c r="F53" t="s">
        <v>758</v>
      </c>
    </row>
    <row r="54" spans="1:6">
      <c r="A54" t="s">
        <v>638</v>
      </c>
      <c r="B54" t="s">
        <v>658</v>
      </c>
      <c r="C54" t="s">
        <v>686</v>
      </c>
      <c r="D54">
        <f>SUM(C56:C60)</f>
        <v>0</v>
      </c>
      <c r="F54" t="s">
        <v>760</v>
      </c>
    </row>
    <row r="56" spans="1:6">
      <c r="A56" t="s">
        <v>639</v>
      </c>
    </row>
    <row r="57" spans="1:6">
      <c r="A57" t="s">
        <v>14</v>
      </c>
      <c r="B57" t="s">
        <v>660</v>
      </c>
      <c r="C57" t="s">
        <v>687</v>
      </c>
      <c r="D57" t="s">
        <v>704</v>
      </c>
      <c r="E57" t="s">
        <v>732</v>
      </c>
      <c r="F57" t="s">
        <v>761</v>
      </c>
    </row>
    <row r="58" spans="1:6">
      <c r="A58" t="s">
        <v>640</v>
      </c>
      <c r="B58" t="s">
        <v>661</v>
      </c>
      <c r="C58" t="s">
        <v>688</v>
      </c>
      <c r="D58" t="s">
        <v>705</v>
      </c>
      <c r="E58" t="s">
        <v>733</v>
      </c>
      <c r="F58">
        <f>E67*(1.029)</f>
        <v>0</v>
      </c>
    </row>
    <row r="59" spans="1:6">
      <c r="A59" t="s">
        <v>641</v>
      </c>
      <c r="B59" t="s">
        <v>662</v>
      </c>
      <c r="C59" t="s">
        <v>689</v>
      </c>
      <c r="D59" t="s">
        <v>706</v>
      </c>
      <c r="E59" t="s">
        <v>734</v>
      </c>
      <c r="F59">
        <f>E68*(1.079)</f>
        <v>0</v>
      </c>
    </row>
    <row r="60" spans="1:6">
      <c r="A60" t="s">
        <v>642</v>
      </c>
      <c r="B60" t="s">
        <v>663</v>
      </c>
      <c r="C60" t="s">
        <v>690</v>
      </c>
      <c r="D60" t="s">
        <v>707</v>
      </c>
      <c r="E60" t="s">
        <v>735</v>
      </c>
      <c r="F60">
        <f>E69*(0.987)</f>
        <v>0</v>
      </c>
    </row>
    <row r="61" spans="1:6">
      <c r="A61" t="s">
        <v>643</v>
      </c>
      <c r="B61" t="s">
        <v>664</v>
      </c>
      <c r="C61" t="s">
        <v>691</v>
      </c>
      <c r="D61" t="s">
        <v>708</v>
      </c>
      <c r="E61" t="s">
        <v>736</v>
      </c>
      <c r="F61">
        <f>E70*(1.059)</f>
        <v>0</v>
      </c>
    </row>
    <row r="62" spans="1:6">
      <c r="A62" t="s">
        <v>6</v>
      </c>
      <c r="B62" t="s">
        <v>665</v>
      </c>
      <c r="C62" t="s">
        <v>692</v>
      </c>
      <c r="D62" t="s">
        <v>709</v>
      </c>
      <c r="E62" t="s">
        <v>737</v>
      </c>
      <c r="F62">
        <f>E71*(1.054)</f>
        <v>0</v>
      </c>
    </row>
    <row r="63" spans="1:6">
      <c r="A63" t="s">
        <v>644</v>
      </c>
      <c r="B63" t="s">
        <v>666</v>
      </c>
      <c r="C63" t="s">
        <v>693</v>
      </c>
      <c r="D63" t="s">
        <v>710</v>
      </c>
      <c r="E63" t="s">
        <v>738</v>
      </c>
      <c r="F63">
        <f>E72*(1.044)</f>
        <v>0</v>
      </c>
    </row>
    <row r="65" spans="1:6">
      <c r="A65" t="s">
        <v>645</v>
      </c>
    </row>
    <row r="66" spans="1:6">
      <c r="A66" t="s">
        <v>479</v>
      </c>
      <c r="B66" t="s">
        <v>667</v>
      </c>
      <c r="C66" t="s">
        <v>694</v>
      </c>
      <c r="D66" t="s">
        <v>711</v>
      </c>
      <c r="E66" t="s">
        <v>739</v>
      </c>
      <c r="F66" t="s">
        <v>762</v>
      </c>
    </row>
    <row r="67" spans="1:6">
      <c r="A67" t="s">
        <v>640</v>
      </c>
      <c r="B67" t="s">
        <v>659</v>
      </c>
      <c r="C67" t="s">
        <v>695</v>
      </c>
      <c r="D67" t="s">
        <v>712</v>
      </c>
      <c r="E67" t="s">
        <v>740</v>
      </c>
      <c r="F67" t="s">
        <v>763</v>
      </c>
    </row>
    <row r="68" spans="1:6">
      <c r="A68" t="s">
        <v>3</v>
      </c>
      <c r="B68" t="s">
        <v>668</v>
      </c>
      <c r="C68" t="s">
        <v>696</v>
      </c>
      <c r="D68" t="s">
        <v>713</v>
      </c>
      <c r="E68" t="s">
        <v>741</v>
      </c>
      <c r="F68" t="s">
        <v>764</v>
      </c>
    </row>
    <row r="69" spans="1:6">
      <c r="A69" t="s">
        <v>5</v>
      </c>
      <c r="B69" t="s">
        <v>669</v>
      </c>
      <c r="C69" t="s">
        <v>697</v>
      </c>
      <c r="D69" t="s">
        <v>714</v>
      </c>
      <c r="E69" t="s">
        <v>742</v>
      </c>
      <c r="F69" t="s">
        <v>765</v>
      </c>
    </row>
    <row r="70" spans="1:6">
      <c r="A70" t="s">
        <v>6</v>
      </c>
      <c r="B70" t="s">
        <v>670</v>
      </c>
      <c r="C70" t="s">
        <v>698</v>
      </c>
      <c r="D70" t="s">
        <v>715</v>
      </c>
      <c r="E70" t="s">
        <v>350</v>
      </c>
      <c r="F70" t="s">
        <v>715</v>
      </c>
    </row>
    <row r="71" spans="1:6">
      <c r="A71" t="s">
        <v>646</v>
      </c>
      <c r="B71">
        <f>SUM(D82:D85)</f>
        <v>0</v>
      </c>
      <c r="E71">
        <f>36450</f>
        <v>0</v>
      </c>
      <c r="F7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Policy Tracker</vt:lpstr>
      <vt:lpstr>Coverage Calculator</vt:lpstr>
      <vt:lpstr>Renewal Alerts</vt:lpstr>
      <vt:lpstr>Premium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2026-01-02T15:58:55Z</dcterms:created>
  <dcterms:modified xsi:type="dcterms:W3CDTF">2026-01-02T15:58:55Z</dcterms:modified>
</cp:coreProperties>
</file>