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Expense Analysis" sheetId="2" r:id="rId2"/>
    <sheet name="Fund Analysis" sheetId="3" r:id="rId3"/>
    <sheet name="Savings Timeline" sheetId="4" r:id="rId4"/>
    <sheet name="Growth Tracker" sheetId="5" r:id="rId5"/>
  </sheets>
  <calcPr calcId="124519" fullCalcOnLoad="1"/>
</workbook>
</file>

<file path=xl/sharedStrings.xml><?xml version="1.0" encoding="utf-8"?>
<sst xmlns="http://schemas.openxmlformats.org/spreadsheetml/2006/main" count="564" uniqueCount="429">
  <si>
    <t>YOUR EMERGENCY FUND PROFILE</t>
  </si>
  <si>
    <t>Metric</t>
  </si>
  <si>
    <t>Total Emergency Fund</t>
  </si>
  <si>
    <t>Target Fund (6 months)</t>
  </si>
  <si>
    <t>Months of Expenses Covered</t>
  </si>
  <si>
    <t>Annual Savings Rate</t>
  </si>
  <si>
    <t>Fund Allocation Status</t>
  </si>
  <si>
    <t>YOUR EMERGENCY FUND TIMELINE</t>
  </si>
  <si>
    <t>Stage</t>
  </si>
  <si>
    <t>Stage 1 (1 month)</t>
  </si>
  <si>
    <t>Stage 2 (3 months)</t>
  </si>
  <si>
    <t>Stage 3 (6 months)</t>
  </si>
  <si>
    <t>Stage 4 (9 months)</t>
  </si>
  <si>
    <t>Stage 5 (12 months)</t>
  </si>
  <si>
    <t>QUICK INSIGHTS</t>
  </si>
  <si>
    <t>Insight</t>
  </si>
  <si>
    <t>Monthly Essential Expenses</t>
  </si>
  <si>
    <t>Recommended Target (6 Mo)</t>
  </si>
  <si>
    <t>Current Coverage Status</t>
  </si>
  <si>
    <t>Savings Required (Monthly)</t>
  </si>
  <si>
    <t>Months to Reach Goal</t>
  </si>
  <si>
    <t>Best Liquid Asset Mix</t>
  </si>
  <si>
    <t>FUND ALLOCATION OVERVIEW</t>
  </si>
  <si>
    <t>Asset Type</t>
  </si>
  <si>
    <t>Savings Account</t>
  </si>
  <si>
    <t>Liquid Funds</t>
  </si>
  <si>
    <t>Short-term FD (3-6 months)</t>
  </si>
  <si>
    <t>Fixed Deposit (6-12 months)</t>
  </si>
  <si>
    <t>Money Market Fund</t>
  </si>
  <si>
    <t>TOTAL EMERGENCY FUND</t>
  </si>
  <si>
    <t>EMERGENCY FUND HEALTH CHECK</t>
  </si>
  <si>
    <t>Criteria</t>
  </si>
  <si>
    <t>Adequacy (Months Covered)</t>
  </si>
  <si>
    <t>Liquidity Access</t>
  </si>
  <si>
    <t>Return Rate</t>
  </si>
  <si>
    <t>Savings Consistency</t>
  </si>
  <si>
    <t>Goal Achievement Timeline</t>
  </si>
  <si>
    <t>EMERGENCY SCENARIO ANALYSIS</t>
  </si>
  <si>
    <t>Scenario</t>
  </si>
  <si>
    <t>Job Loss</t>
  </si>
  <si>
    <t>Medical Emergency</t>
  </si>
  <si>
    <t>Home Repair</t>
  </si>
  <si>
    <t>Vehicle Emergency</t>
  </si>
  <si>
    <t>Extended Business Downturn</t>
  </si>
  <si>
    <t>Current Value</t>
  </si>
  <si>
    <t>₹</t>
  </si>
  <si>
    <t>Complete</t>
  </si>
  <si>
    <t>Current Amount (₹)</t>
  </si>
  <si>
    <t>Value</t>
  </si>
  <si>
    <t>See Fund Allocation</t>
  </si>
  <si>
    <t>Amount Allocated (₹)</t>
  </si>
  <si>
    <t>Status</t>
  </si>
  <si>
    <t>All assets T+1 or faster</t>
  </si>
  <si>
    <t>Monthly Cost</t>
  </si>
  <si>
    <t>₹150000</t>
  </si>
  <si>
    <t>₹100000</t>
  </si>
  <si>
    <t>Target Value</t>
  </si>
  <si>
    <t>6</t>
  </si>
  <si>
    <t>Optimized</t>
  </si>
  <si>
    <t>Target Amount (₹)</t>
  </si>
  <si>
    <t>Impact</t>
  </si>
  <si>
    <t>Out of 6 months needed</t>
  </si>
  <si>
    <t>months from now</t>
  </si>
  <si>
    <t>Optimize returns + liquidity</t>
  </si>
  <si>
    <t>% of Total Fund</t>
  </si>
  <si>
    <t>100%</t>
  </si>
  <si>
    <t>Rating</t>
  </si>
  <si>
    <t>✓ Excellent</t>
  </si>
  <si>
    <t>Duration</t>
  </si>
  <si>
    <t>3 months</t>
  </si>
  <si>
    <t>1 month</t>
  </si>
  <si>
    <t>Lump sum</t>
  </si>
  <si>
    <t>6 months</t>
  </si>
  <si>
    <t>Progress %</t>
  </si>
  <si>
    <t>Months Away</t>
  </si>
  <si>
    <t>Timeline</t>
  </si>
  <si>
    <t>Your baseline safety amount</t>
  </si>
  <si>
    <t>Ideal emergency cushion</t>
  </si>
  <si>
    <t>Financial security level</t>
  </si>
  <si>
    <t>To reach 6-month goal</t>
  </si>
  <si>
    <t>At current savings rate</t>
  </si>
  <si>
    <t>Recommended allocation</t>
  </si>
  <si>
    <t>3-4%</t>
  </si>
  <si>
    <t>4-5%</t>
  </si>
  <si>
    <t>6-7%</t>
  </si>
  <si>
    <t>7-8%</t>
  </si>
  <si>
    <t>5-6%</t>
  </si>
  <si>
    <t>Blended avg</t>
  </si>
  <si>
    <t>Recommendation</t>
  </si>
  <si>
    <t>⭐⭐⭐</t>
  </si>
  <si>
    <t>Total Need</t>
  </si>
  <si>
    <t>150000</t>
  </si>
  <si>
    <t>100000</t>
  </si>
  <si>
    <t>Progress</t>
  </si>
  <si>
    <t>Action</t>
  </si>
  <si>
    <t>Monthly</t>
  </si>
  <si>
    <t>Ongoing</t>
  </si>
  <si>
    <t>Monthly SIP</t>
  </si>
  <si>
    <t>Deadline</t>
  </si>
  <si>
    <t>Review</t>
  </si>
  <si>
    <t>Liquidity</t>
  </si>
  <si>
    <t>Instant (24hrs)</t>
  </si>
  <si>
    <t>T+1 (1-2 days)</t>
  </si>
  <si>
    <t>5-7 days</t>
  </si>
  <si>
    <t>Pre-closure penalty</t>
  </si>
  <si>
    <t>Risk Level</t>
  </si>
  <si>
    <t>Maintain liquid allocation</t>
  </si>
  <si>
    <t>Consider adding liquid funds</t>
  </si>
  <si>
    <t>Increase SIP if possible</t>
  </si>
  <si>
    <t>Current Coverage</t>
  </si>
  <si>
    <t>Continue saving</t>
  </si>
  <si>
    <t>Keep growing</t>
  </si>
  <si>
    <t>Accelerate savings</t>
  </si>
  <si>
    <t>Adjust SIP</t>
  </si>
  <si>
    <t>Review allocation</t>
  </si>
  <si>
    <t>Quick access to 1 month buffer</t>
  </si>
  <si>
    <t>Basic emergency coverage</t>
  </si>
  <si>
    <t>Recommended goal</t>
  </si>
  <si>
    <t>Extended job loss protection</t>
  </si>
  <si>
    <t>Maximum financial security</t>
  </si>
  <si>
    <t>Track &amp; review quarterly</t>
  </si>
  <si>
    <t>Priority goal</t>
  </si>
  <si>
    <t>Set up auto-transfer</t>
  </si>
  <si>
    <t>Purpose</t>
  </si>
  <si>
    <t>Immediate emergencies</t>
  </si>
  <si>
    <t>Primary emergency buffer</t>
  </si>
  <si>
    <t>Medium-term reserves</t>
  </si>
  <si>
    <t>Longer-term stability</t>
  </si>
  <si>
    <t>Flexible high yield</t>
  </si>
  <si>
    <t>Complete safety net</t>
  </si>
  <si>
    <t>Priority</t>
  </si>
  <si>
    <t>LOW</t>
  </si>
  <si>
    <t>MEDIUM</t>
  </si>
  <si>
    <t>Shortfall</t>
  </si>
  <si>
    <t>Monitor</t>
  </si>
  <si>
    <t>Optimize</t>
  </si>
  <si>
    <t>Important</t>
  </si>
  <si>
    <t>EMERGENCY FUND PLANNER - PERSONALIZED FINANCIAL SAFETY NET</t>
  </si>
  <si>
    <t>List all your monthly essential expenses below. These form the basis of your emergency fund calculation.</t>
  </si>
  <si>
    <t>MONTHLY ESSENTIAL EXPENSES</t>
  </si>
  <si>
    <t>Expense Category</t>
  </si>
  <si>
    <t>Rent/Home Loan EMI</t>
  </si>
  <si>
    <t>Groceries &amp; Food</t>
  </si>
  <si>
    <t>Utilities (Electricity, Water, Gas)</t>
  </si>
  <si>
    <t>Internet &amp; Mobile</t>
  </si>
  <si>
    <t>School/Education Fees</t>
  </si>
  <si>
    <t>Health &amp; Medical</t>
  </si>
  <si>
    <t>Insurance Premiums</t>
  </si>
  <si>
    <t>Vehicle Fuel/Maintenance</t>
  </si>
  <si>
    <t>Household Help/Services</t>
  </si>
  <si>
    <t>Other Essentials</t>
  </si>
  <si>
    <t>MONTHLY &amp; ANNUAL TOTALS</t>
  </si>
  <si>
    <t>Total Monthly Essential Expenses</t>
  </si>
  <si>
    <t>Buffer (10% cushion)</t>
  </si>
  <si>
    <t>TOTAL WITH BUFFER</t>
  </si>
  <si>
    <t>EMERGENCY FUND TARGETS</t>
  </si>
  <si>
    <t>1 Month Emergency</t>
  </si>
  <si>
    <t>3 Months Emergency (Basic)</t>
  </si>
  <si>
    <t>6 Months Emergency (Recommended)</t>
  </si>
  <si>
    <t>9 Months Emergency (Safe)</t>
  </si>
  <si>
    <t>12 Months Emergency (Secure)</t>
  </si>
  <si>
    <t>YOUR INCOME &amp; SAVINGS CAPACITY</t>
  </si>
  <si>
    <t>Gross Monthly Income</t>
  </si>
  <si>
    <t>Net Take-home Income</t>
  </si>
  <si>
    <t>Total Monthly Expenses</t>
  </si>
  <si>
    <t>Monthly Surplus (Before Savings)</t>
  </si>
  <si>
    <t>Target Monthly Savings (SIP)</t>
  </si>
  <si>
    <t>Savings Rate (% of income)</t>
  </si>
  <si>
    <t>Monthly Cost (₹)</t>
  </si>
  <si>
    <t>₹45000</t>
  </si>
  <si>
    <t>₹15000</t>
  </si>
  <si>
    <t>₹4000</t>
  </si>
  <si>
    <t>₹2500</t>
  </si>
  <si>
    <t>₹8000</t>
  </si>
  <si>
    <t>₹3500</t>
  </si>
  <si>
    <t>₹5500</t>
  </si>
  <si>
    <t>₹2000</t>
  </si>
  <si>
    <t>₹1000</t>
  </si>
  <si>
    <t>Formula</t>
  </si>
  <si>
    <t>Monthly Amount (₹)</t>
  </si>
  <si>
    <t>₹125000</t>
  </si>
  <si>
    <t>₹90000</t>
  </si>
  <si>
    <t>Annual Cost (₹)</t>
  </si>
  <si>
    <t>Amount (₹)</t>
  </si>
  <si>
    <t>Annual Amount (₹)</t>
  </si>
  <si>
    <t>% of Total</t>
  </si>
  <si>
    <t>110%</t>
  </si>
  <si>
    <t>When Needed</t>
  </si>
  <si>
    <t>Immediate crisis</t>
  </si>
  <si>
    <t>Job loss, illness</t>
  </si>
  <si>
    <t>Extended hardship</t>
  </si>
  <si>
    <t>Prolonged crisis</t>
  </si>
  <si>
    <t>Maximum safety</t>
  </si>
  <si>
    <t>% of Income</t>
  </si>
  <si>
    <t>72%</t>
  </si>
  <si>
    <t>Frequency</t>
  </si>
  <si>
    <t>Essential only</t>
  </si>
  <si>
    <t>Unexpected items</t>
  </si>
  <si>
    <t>Coverage Status</t>
  </si>
  <si>
    <t>Your baseline</t>
  </si>
  <si>
    <t>After taxes</t>
  </si>
  <si>
    <t>Essential + buffer</t>
  </si>
  <si>
    <t>Available to save</t>
  </si>
  <si>
    <t>Recommended saving</t>
  </si>
  <si>
    <t>Your capacity</t>
  </si>
  <si>
    <t>Notes</t>
  </si>
  <si>
    <t>Fixed housing cost</t>
  </si>
  <si>
    <t>Essential food items only</t>
  </si>
  <si>
    <t>Basic utility bills</t>
  </si>
  <si>
    <t>Essential connectivity</t>
  </si>
  <si>
    <t>Children's education</t>
  </si>
  <si>
    <t>Regular medical costs</t>
  </si>
  <si>
    <t>Health, life, motor, home</t>
  </si>
  <si>
    <t>Necessary transport</t>
  </si>
  <si>
    <t>Maid, laundry essentials</t>
  </si>
  <si>
    <t>Miscellaneous needs</t>
  </si>
  <si>
    <t>Small surprises</t>
  </si>
  <si>
    <t>Realistic monthly need</t>
  </si>
  <si>
    <t>HIGH</t>
  </si>
  <si>
    <t>Before taxes &amp; deductions</t>
  </si>
  <si>
    <t>Actual spending power</t>
  </si>
  <si>
    <t>All essential costs</t>
  </si>
  <si>
    <t>After all expenses</t>
  </si>
  <si>
    <t>Percentage saved annually</t>
  </si>
  <si>
    <t>EXPENSE ANALYSIS - CALCULATE YOUR ESSENTIAL MONTHLY COSTS</t>
  </si>
  <si>
    <t>Optimize your emergency fund across safe, liquid assets that balance accessibility and returns.</t>
  </si>
  <si>
    <t>EMERGENCY FUND ALLOCATION</t>
  </si>
  <si>
    <t>Savings Account (Primary)</t>
  </si>
  <si>
    <t>Liquid Funds (Core)</t>
  </si>
  <si>
    <t>DETAILED ASSET BREAKDOWN</t>
  </si>
  <si>
    <t>Asset Category</t>
  </si>
  <si>
    <t>Short-term FD</t>
  </si>
  <si>
    <t>Long-term FD</t>
  </si>
  <si>
    <t>ASSET ALLOCATION RULES (By Life Stage)</t>
  </si>
  <si>
    <t>Life Stage</t>
  </si>
  <si>
    <t>Single/Young (Entry-level job)</t>
  </si>
  <si>
    <t>Married (Stable income)</t>
  </si>
  <si>
    <t>With dependents (2+ kids)</t>
  </si>
  <si>
    <t>Entrepreneur (Unstable income)</t>
  </si>
  <si>
    <t>Retired (No income)</t>
  </si>
  <si>
    <t>ANNUAL EXPECTED RETURNS</t>
  </si>
  <si>
    <t>TOTAL EXPECTED ANNUAL RETURN</t>
  </si>
  <si>
    <t>Allocation (₹)</t>
  </si>
  <si>
    <t>Current Balance (₹)</t>
  </si>
  <si>
    <t>40%</t>
  </si>
  <si>
    <t>30%</t>
  </si>
  <si>
    <t>20%</t>
  </si>
  <si>
    <t>50%</t>
  </si>
  <si>
    <t>Target Balance (₹)</t>
  </si>
  <si>
    <t>45%</t>
  </si>
  <si>
    <t>35%</t>
  </si>
  <si>
    <t>Annual Return Rate</t>
  </si>
  <si>
    <t>Gap (₹)</t>
  </si>
  <si>
    <t>ST FD (3-6mo)</t>
  </si>
  <si>
    <t>10%</t>
  </si>
  <si>
    <t>15%</t>
  </si>
  <si>
    <t>Annual Income (₹)</t>
  </si>
  <si>
    <t>Liquidity Timeline</t>
  </si>
  <si>
    <t>Instant (24 hours)</t>
  </si>
  <si>
    <t>Mixed</t>
  </si>
  <si>
    <t>LT FD (6-12mo)</t>
  </si>
  <si>
    <t>0%</t>
  </si>
  <si>
    <t>5%</t>
  </si>
  <si>
    <t>% Contribution</t>
  </si>
  <si>
    <t>Very Low</t>
  </si>
  <si>
    <t>Low</t>
  </si>
  <si>
    <t>Immediate</t>
  </si>
  <si>
    <t>This month</t>
  </si>
  <si>
    <t>Next quarter</t>
  </si>
  <si>
    <t>Money Market</t>
  </si>
  <si>
    <t>Lowest yield</t>
  </si>
  <si>
    <t>Best liquidity + return</t>
  </si>
  <si>
    <t>Good returns</t>
  </si>
  <si>
    <t>Highest returns</t>
  </si>
  <si>
    <t>Balance returns</t>
  </si>
  <si>
    <t>Fund will grow</t>
  </si>
  <si>
    <t>Best For</t>
  </si>
  <si>
    <t>Maximum flexibility</t>
  </si>
  <si>
    <t>Balanced approach</t>
  </si>
  <si>
    <t>Growth + safety</t>
  </si>
  <si>
    <t>Maximum liquidity</t>
  </si>
  <si>
    <t>Higher allocation needed</t>
  </si>
  <si>
    <t>FUND ALLOCATION &amp; LIQUID ASSET STRATEGY</t>
  </si>
  <si>
    <t>Track your progress toward building your emergency fund with monthly milestones and goals.</t>
  </si>
  <si>
    <t>SAVINGS PLAN DETAILS</t>
  </si>
  <si>
    <t>Target Fund Amount</t>
  </si>
  <si>
    <t>Current Fund Status</t>
  </si>
  <si>
    <t>Funds Remaining to Reach Goal</t>
  </si>
  <si>
    <t>Monthly Savings Rate</t>
  </si>
  <si>
    <t>MONTHLY SAVINGS PROGRESS</t>
  </si>
  <si>
    <t>Month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</si>
  <si>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</si>
  <si>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</si>
  <si>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</si>
  <si>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</si>
  <si>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</si>
  <si>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</si>
  <si>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</si>
  <si>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</si>
  <si>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</si>
  <si>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</si>
  <si>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</si>
  <si>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</si>
  <si>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YEAR 1 TOTAL</t>
  </si>
  <si>
    <t>MILESTONE ACHIEVEMENTS</t>
  </si>
  <si>
    <t>Milestone</t>
  </si>
  <si>
    <t>1 Month Buffer</t>
  </si>
  <si>
    <t>3 Month Basic</t>
  </si>
  <si>
    <t>6 Month Recommended</t>
  </si>
  <si>
    <t>9 Month Extended</t>
  </si>
  <si>
    <t>12 Month Secure</t>
  </si>
  <si>
    <t>AUTOMATED SAVINGS SETUP</t>
  </si>
  <si>
    <t>Setup Item</t>
  </si>
  <si>
    <t>Auto-transfer to Savings</t>
  </si>
  <si>
    <t>Liquid Fund SIP</t>
  </si>
  <si>
    <t>TOTAL MONTHLY AUTOMATION</t>
  </si>
  <si>
    <t>Your Situation</t>
  </si>
  <si>
    <t>6 months expenses</t>
  </si>
  <si>
    <t>Need to track</t>
  </si>
  <si>
    <t>Gap to target</t>
  </si>
  <si>
    <t>Target Amount</t>
  </si>
  <si>
    <t>Target Date</t>
  </si>
  <si>
    <t>Provider/Account</t>
  </si>
  <si>
    <t>Your Bank</t>
  </si>
  <si>
    <t>Mutual Fund App</t>
  </si>
  <si>
    <t>Bank/RBI platform</t>
  </si>
  <si>
    <t>Brokerage/MF</t>
  </si>
  <si>
    <t>Multiple channels</t>
  </si>
  <si>
    <t>Calculation</t>
  </si>
  <si>
    <t>Total of all assets</t>
  </si>
  <si>
    <t>From expense analysis</t>
  </si>
  <si>
    <t>Your Contribution</t>
  </si>
  <si>
    <t>Monthly Amount</t>
  </si>
  <si>
    <t>Result</t>
  </si>
  <si>
    <t>Current Balance</t>
  </si>
  <si>
    <t>Current Status</t>
  </si>
  <si>
    <t>Not yet achieved</t>
  </si>
  <si>
    <t>Target goal</t>
  </si>
  <si>
    <t>Future goal</t>
  </si>
  <si>
    <t>Start Date</t>
  </si>
  <si>
    <t>2026-01-05</t>
  </si>
  <si>
    <t>2026-01-20</t>
  </si>
  <si>
    <t>2026-02-01</t>
  </si>
  <si>
    <t>Starting now</t>
  </si>
  <si>
    <t>Goal amount</t>
  </si>
  <si>
    <t>Current balance</t>
  </si>
  <si>
    <t>Amount needed</t>
  </si>
  <si>
    <t>Your SIP</t>
  </si>
  <si>
    <t>Progress to Goal %</t>
  </si>
  <si>
    <t>Days Away</t>
  </si>
  <si>
    <t>Type</t>
  </si>
  <si>
    <t>NEFT/Auto debit</t>
  </si>
  <si>
    <t>SIP Auto debit</t>
  </si>
  <si>
    <t>Lump sum monthly</t>
  </si>
  <si>
    <t>Fully automated</t>
  </si>
  <si>
    <t>Recommended target</t>
  </si>
  <si>
    <t>Update monthly</t>
  </si>
  <si>
    <t>Priority gap</t>
  </si>
  <si>
    <t>Increase if possible</t>
  </si>
  <si>
    <t>Adjust savings rate</t>
  </si>
  <si>
    <t>Starting</t>
  </si>
  <si>
    <t>Growing</t>
  </si>
  <si>
    <t>On track</t>
  </si>
  <si>
    <t>Building</t>
  </si>
  <si>
    <t>Progressing</t>
  </si>
  <si>
    <t>Accelerating</t>
  </si>
  <si>
    <t>Momentum</t>
  </si>
  <si>
    <t>Halfway</t>
  </si>
  <si>
    <t>Strong</t>
  </si>
  <si>
    <t>Excellent</t>
  </si>
  <si>
    <t>Almost there</t>
  </si>
  <si>
    <t>One year progress</t>
  </si>
  <si>
    <t>Build immediately</t>
  </si>
  <si>
    <t>Main objective</t>
  </si>
  <si>
    <t>Long-term</t>
  </si>
  <si>
    <t>Ultimate goal</t>
  </si>
  <si>
    <t>Setup</t>
  </si>
  <si>
    <t>Plan</t>
  </si>
  <si>
    <t>Recommended</t>
  </si>
  <si>
    <t>SAVINGS TIMELINE &amp; PROGRESS TRACKER</t>
  </si>
  <si>
    <t>Monitor your emergency fund growth, track actual vs target progress, and review performance.</t>
  </si>
  <si>
    <t>ACTUAL VS TARGET PROGRESS</t>
  </si>
  <si>
    <t>Jan 2026</t>
  </si>
  <si>
    <t>Feb 2026</t>
  </si>
  <si>
    <t>Mar 2026</t>
  </si>
  <si>
    <t>Apr 2026</t>
  </si>
  <si>
    <t>Jun 2026</t>
  </si>
  <si>
    <t>Jul 2026</t>
  </si>
  <si>
    <t>Aug 2026</t>
  </si>
  <si>
    <t>Sep 2026</t>
  </si>
  <si>
    <t>Oct 2026</t>
  </si>
  <si>
    <t>Nov 2026</t>
  </si>
  <si>
    <t>Dec 2026</t>
  </si>
  <si>
    <t>QUARTERLY PERFORMANCE REVIEW</t>
  </si>
  <si>
    <t>Quarter</t>
  </si>
  <si>
    <t>Q1 2026</t>
  </si>
  <si>
    <t>Q2 2026</t>
  </si>
  <si>
    <t>Q3 2026</t>
  </si>
  <si>
    <t>Q4 2026</t>
  </si>
  <si>
    <t>ANNUAL SUMMARY</t>
  </si>
  <si>
    <t>Opening Balance</t>
  </si>
  <si>
    <t>Annual Contribution</t>
  </si>
  <si>
    <t>Annual Interest</t>
  </si>
  <si>
    <t>Closing Balance</t>
  </si>
  <si>
    <t>% of Target Goal</t>
  </si>
  <si>
    <t>₹0</t>
  </si>
  <si>
    <t>Year 1</t>
  </si>
  <si>
    <t>Monthly Contribution</t>
  </si>
  <si>
    <t>Contributions</t>
  </si>
  <si>
    <t>Year 2 Projection</t>
  </si>
  <si>
    <t>Interest Earned</t>
  </si>
  <si>
    <t>Year 3 Projection</t>
  </si>
  <si>
    <t>Total Balance</t>
  </si>
  <si>
    <t>Ending Balance</t>
  </si>
  <si>
    <t>Starting point</t>
  </si>
  <si>
    <t>Consistent saving</t>
  </si>
  <si>
    <t>Growing returns</t>
  </si>
  <si>
    <t>Year-end balance</t>
  </si>
  <si>
    <t>Overall status</t>
  </si>
  <si>
    <t>Target Balance</t>
  </si>
  <si>
    <t>% Growth</t>
  </si>
  <si>
    <t>Growth begins</t>
  </si>
  <si>
    <t>Regular SIP</t>
  </si>
  <si>
    <t>Compound growth</t>
  </si>
  <si>
    <t>Increasing each year</t>
  </si>
  <si>
    <t>Track milestones</t>
  </si>
  <si>
    <t>Improving security</t>
  </si>
  <si>
    <t>Variance %</t>
  </si>
  <si>
    <t>EMERGENCY FUND GROWTH &amp; MONITORING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</si>
</sst>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cols>
    <col min="1" max="6" width="50.7109375" customWidth="1"/>
    <col min="7" max="7" width="33.7109375" customWidth="1"/>
  </cols>
  <sheetData>
    <row r="1" spans="1:6">
      <c r="A1" t="s">
        <v>137</v>
      </c>
    </row>
    <row r="3" spans="1:6">
      <c r="A3" t="s">
        <v>0</v>
      </c>
    </row>
    <row r="4" spans="1:6">
      <c r="A4" t="s">
        <v>1</v>
      </c>
      <c r="B4" t="s">
        <v>44</v>
      </c>
      <c r="C4" t="s">
        <v>56</v>
      </c>
      <c r="D4" t="s">
        <v>73</v>
      </c>
      <c r="E4" t="s">
        <v>51</v>
      </c>
      <c r="F4" t="s">
        <v>94</v>
      </c>
    </row>
    <row r="5" spans="1:6">
      <c r="A5" t="s">
        <v>2</v>
      </c>
      <c r="B5" t="s">
        <v>45</v>
      </c>
      <c r="C5">
        <f>IF(SUM('Fund Analysis'!C7:C11)&gt;0,SUM('Fund Analysis'!C7:C11),0)</f>
        <v>0</v>
      </c>
      <c r="D5">
        <f>IF('Fund Analysis'!C12&gt;0,'Fund Analysis'!C12,0)</f>
        <v>0</v>
      </c>
      <c r="E5">
        <f>IF(B7&gt;=C7,"✓ On Track","📈 Building")</f>
        <v>0</v>
      </c>
      <c r="F5" t="s">
        <v>110</v>
      </c>
    </row>
    <row r="6" spans="1:6">
      <c r="A6" t="s">
        <v>3</v>
      </c>
      <c r="B6" t="s">
        <v>45</v>
      </c>
      <c r="C6">
        <f>'Expense Analysis'!B16</f>
        <v>0</v>
      </c>
      <c r="D6">
        <f>(B6/'Expense Analysis'!B16)*100%</f>
        <v>0</v>
      </c>
      <c r="E6">
        <f>IF(B6&gt;='Expense Analysis'!B16,"✓ ACHIEVED","In Progress")</f>
        <v>0</v>
      </c>
      <c r="F6" t="s">
        <v>111</v>
      </c>
    </row>
    <row r="7" spans="1:6">
      <c r="A7" t="s">
        <v>4</v>
      </c>
      <c r="B7">
        <f>IF('Expense Analysis'!B16&gt;0,B6/'Expense Analysis'!B12,0)</f>
        <v>0</v>
      </c>
      <c r="C7" t="s">
        <v>57</v>
      </c>
      <c r="D7">
        <f>(B8/C8)*100%</f>
        <v>0</v>
      </c>
      <c r="E7">
        <f>IF(B8&gt;=3,"✓ Safe","❌ Risky")</f>
        <v>0</v>
      </c>
      <c r="F7" t="s">
        <v>112</v>
      </c>
    </row>
    <row r="8" spans="1:6">
      <c r="A8" t="s">
        <v>5</v>
      </c>
      <c r="B8" t="s">
        <v>45</v>
      </c>
      <c r="C8">
        <f>'Expense Analysis'!B25</f>
        <v>0</v>
      </c>
      <c r="D8">
        <f>(B9/'Expense Analysis'!B25)*100%</f>
        <v>0</v>
      </c>
      <c r="E8">
        <f>IF(B9&gt;='Expense Analysis'!B25,"✓ On Budget","⚠️ Review")</f>
        <v>0</v>
      </c>
      <c r="F8" t="s">
        <v>113</v>
      </c>
    </row>
    <row r="9" spans="1:6">
      <c r="A9" t="s">
        <v>6</v>
      </c>
      <c r="B9" t="s">
        <v>46</v>
      </c>
      <c r="C9" t="s">
        <v>58</v>
      </c>
      <c r="E9">
        <f>IF('Fund Analysis'!C7=0,"❌ No allocation","✓ Allocated")</f>
        <v>0</v>
      </c>
      <c r="F9" t="s">
        <v>114</v>
      </c>
    </row>
    <row r="11" spans="1:6">
      <c r="A11" t="s">
        <v>7</v>
      </c>
    </row>
    <row r="12" spans="1:6">
      <c r="A12" t="s">
        <v>8</v>
      </c>
      <c r="B12" t="s">
        <v>47</v>
      </c>
      <c r="C12" t="s">
        <v>59</v>
      </c>
      <c r="D12" t="s">
        <v>74</v>
      </c>
      <c r="E12" t="s">
        <v>93</v>
      </c>
      <c r="F12" t="s">
        <v>88</v>
      </c>
    </row>
    <row r="13" spans="1:6">
      <c r="A13" t="s">
        <v>9</v>
      </c>
      <c r="B13">
        <f>IF(B6&lt;'Expense Analysis'!B12,'Expense Analysis'!B12,"✓ Achieved")</f>
        <v>0</v>
      </c>
      <c r="C13">
        <f>'Expense Analysis'!B12</f>
        <v>0</v>
      </c>
      <c r="D13">
        <f>IF(B14&lt;C14,CEILING((C14-B14)/'Expense Analysis'!B25/12),0)</f>
        <v>0</v>
      </c>
      <c r="E13">
        <f>IF(B14&gt;=C14,"✓ Complete",ROUND(B14/C14*100,0)&amp;"%")</f>
        <v>0</v>
      </c>
      <c r="F13" t="s">
        <v>115</v>
      </c>
    </row>
    <row r="14" spans="1:6">
      <c r="A14" t="s">
        <v>10</v>
      </c>
      <c r="B14">
        <f>IF(B6&lt;'Expense Analysis'!B14,'Expense Analysis'!B14,"✓ Achieved")</f>
        <v>0</v>
      </c>
      <c r="C14">
        <f>'Expense Analysis'!B14</f>
        <v>0</v>
      </c>
      <c r="D14">
        <f>IF(B15&lt;C15,CEILING((C15-B15)/'Expense Analysis'!B25/12),0)</f>
        <v>0</v>
      </c>
      <c r="E14">
        <f>IF(B15&gt;=C15,"✓ Complete",ROUND(B15/C15*100,0)&amp;"%")</f>
        <v>0</v>
      </c>
      <c r="F14" t="s">
        <v>116</v>
      </c>
    </row>
    <row r="15" spans="1:6">
      <c r="A15" t="s">
        <v>11</v>
      </c>
      <c r="B15">
        <f>IF(B6&lt;'Expense Analysis'!B16,'Expense Analysis'!B16,"✓ Achieved")</f>
        <v>0</v>
      </c>
      <c r="C15">
        <f>'Expense Analysis'!B16</f>
        <v>0</v>
      </c>
      <c r="D15">
        <f>IF(B16&lt;C16,CEILING((C16-B16)/'Expense Analysis'!B25/12),0)</f>
        <v>0</v>
      </c>
      <c r="E15">
        <f>IF(B16&gt;=C16,"✓ Complete",ROUND(B16/C16*100,0)&amp;"%")</f>
        <v>0</v>
      </c>
      <c r="F15" t="s">
        <v>117</v>
      </c>
    </row>
    <row r="16" spans="1:6">
      <c r="A16" t="s">
        <v>12</v>
      </c>
      <c r="B16">
        <f>IF(B6&lt;'Expense Analysis'!B12*9,'Expense Analysis'!B12*9,"✓ Achieved")</f>
        <v>0</v>
      </c>
      <c r="C16">
        <f>'Expense Analysis'!B12*9</f>
        <v>0</v>
      </c>
      <c r="D16">
        <f>IF(B17&lt;C17,CEILING((C17-B17)/'Expense Analysis'!B25/12),0)</f>
        <v>0</v>
      </c>
      <c r="E16">
        <f>IF(B17&gt;=C17,"✓ Complete",ROUND(B17/C17*100,0)&amp;"%")</f>
        <v>0</v>
      </c>
      <c r="F16" t="s">
        <v>118</v>
      </c>
    </row>
    <row r="17" spans="1:6">
      <c r="A17" t="s">
        <v>13</v>
      </c>
      <c r="B17">
        <f>IF(B6&lt;'Expense Analysis'!B12*12,'Expense Analysis'!B12*12,"✓ Achieved")</f>
        <v>0</v>
      </c>
      <c r="C17">
        <f>'Expense Analysis'!B12*12</f>
        <v>0</v>
      </c>
      <c r="D17">
        <f>IF(B18&lt;C18,CEILING((C18-B18)/'Expense Analysis'!B25/12),0)</f>
        <v>0</v>
      </c>
      <c r="E17">
        <f>IF(B18&gt;=C18,"✓ Complete",ROUND(B18/C18*100,0)&amp;"%")</f>
        <v>0</v>
      </c>
      <c r="F17" t="s">
        <v>119</v>
      </c>
    </row>
    <row r="19" spans="1:6">
      <c r="A19" t="s">
        <v>14</v>
      </c>
    </row>
    <row r="20" spans="1:6">
      <c r="A20" t="s">
        <v>15</v>
      </c>
      <c r="B20" t="s">
        <v>48</v>
      </c>
      <c r="C20" t="s">
        <v>60</v>
      </c>
      <c r="D20" t="s">
        <v>75</v>
      </c>
      <c r="E20" t="s">
        <v>94</v>
      </c>
    </row>
    <row r="21" spans="1:6">
      <c r="A21" t="s">
        <v>16</v>
      </c>
      <c r="B21" t="s">
        <v>45</v>
      </c>
      <c r="C21">
        <f>'Expense Analysis'!B12</f>
        <v>0</v>
      </c>
      <c r="D21" t="s">
        <v>76</v>
      </c>
      <c r="E21" t="s">
        <v>95</v>
      </c>
      <c r="F21" t="s">
        <v>120</v>
      </c>
    </row>
    <row r="22" spans="1:6">
      <c r="A22" t="s">
        <v>17</v>
      </c>
      <c r="B22" t="s">
        <v>45</v>
      </c>
      <c r="C22">
        <f>'Expense Analysis'!B16</f>
        <v>0</v>
      </c>
      <c r="D22" t="s">
        <v>77</v>
      </c>
      <c r="E22" t="s">
        <v>96</v>
      </c>
      <c r="F22" t="s">
        <v>121</v>
      </c>
    </row>
    <row r="23" spans="1:6">
      <c r="A23" t="s">
        <v>18</v>
      </c>
      <c r="B23">
        <f>B8&amp;" months"</f>
        <v>0</v>
      </c>
      <c r="C23" t="s">
        <v>61</v>
      </c>
      <c r="D23" t="s">
        <v>78</v>
      </c>
      <c r="E23" t="s">
        <v>96</v>
      </c>
      <c r="F23">
        <f>IF(B8&gt;=6,"✓ Secure","⚠️ Build more")</f>
        <v>0</v>
      </c>
    </row>
    <row r="24" spans="1:6">
      <c r="A24" t="s">
        <v>19</v>
      </c>
      <c r="B24" t="s">
        <v>45</v>
      </c>
      <c r="C24">
        <f>IF('Expense Analysis'!B25&lt;'Savings Timeline'!C16,'Savings Timeline'!C16,'Expense Analysis'!B25)</f>
        <v>0</v>
      </c>
      <c r="D24" t="s">
        <v>79</v>
      </c>
      <c r="E24" t="s">
        <v>97</v>
      </c>
      <c r="F24" t="s">
        <v>122</v>
      </c>
    </row>
    <row r="25" spans="1:6">
      <c r="A25" t="s">
        <v>20</v>
      </c>
      <c r="B25">
        <f>IF('Savings Timeline'!C16&gt;0,CEILING('Expense Analysis'!B16/'Savings Timeline'!C16),0)</f>
        <v>0</v>
      </c>
      <c r="C25" t="s">
        <v>62</v>
      </c>
      <c r="D25" t="s">
        <v>80</v>
      </c>
      <c r="E25" t="s">
        <v>98</v>
      </c>
      <c r="F25">
        <f>IF(B24&lt;12,"✓ Achievable","Needs acceleration")</f>
        <v>0</v>
      </c>
    </row>
    <row r="26" spans="1:6">
      <c r="A26" t="s">
        <v>21</v>
      </c>
      <c r="B26" t="s">
        <v>49</v>
      </c>
      <c r="C26" t="s">
        <v>63</v>
      </c>
      <c r="D26" t="s">
        <v>81</v>
      </c>
      <c r="E26" t="s">
        <v>99</v>
      </c>
      <c r="F26">
        <f>IF('Fund Analysis'!C12&gt;0,"✓ Configured","Set up now")</f>
        <v>0</v>
      </c>
    </row>
    <row r="28" spans="1:6">
      <c r="A28" t="s">
        <v>22</v>
      </c>
    </row>
    <row r="29" spans="1:6">
      <c r="A29" t="s">
        <v>23</v>
      </c>
      <c r="B29" t="s">
        <v>50</v>
      </c>
      <c r="C29" t="s">
        <v>64</v>
      </c>
      <c r="D29" t="s">
        <v>34</v>
      </c>
      <c r="E29" t="s">
        <v>100</v>
      </c>
      <c r="F29" t="s">
        <v>123</v>
      </c>
    </row>
    <row r="30" spans="1:6">
      <c r="A30" t="s">
        <v>24</v>
      </c>
      <c r="B30">
        <f>'Fund Analysis'!C7</f>
        <v>0</v>
      </c>
      <c r="C30">
        <f>IF(SUM('Fund Analysis'!$C$7:$C$11)&gt;0,B32/SUM('Fund Analysis'!$C$7:$C$11)*100,0)%</f>
        <v>0</v>
      </c>
      <c r="D30" t="s">
        <v>82</v>
      </c>
      <c r="E30" t="s">
        <v>101</v>
      </c>
      <c r="F30" t="s">
        <v>124</v>
      </c>
    </row>
    <row r="31" spans="1:6">
      <c r="A31" t="s">
        <v>25</v>
      </c>
      <c r="B31">
        <f>'Fund Analysis'!C8</f>
        <v>0</v>
      </c>
      <c r="C31">
        <f>IF(SUM('Fund Analysis'!$C$7:$C$11)&gt;0,B33/SUM('Fund Analysis'!$C$7:$C$11)*100,0)%</f>
        <v>0</v>
      </c>
      <c r="D31" t="s">
        <v>83</v>
      </c>
      <c r="E31" t="s">
        <v>102</v>
      </c>
      <c r="F31" t="s">
        <v>125</v>
      </c>
    </row>
    <row r="32" spans="1:6">
      <c r="A32" t="s">
        <v>26</v>
      </c>
      <c r="B32">
        <f>'Fund Analysis'!C9</f>
        <v>0</v>
      </c>
      <c r="C32">
        <f>IF(SUM('Fund Analysis'!$C$7:$C$11)&gt;0,B34/SUM('Fund Analysis'!$C$7:$C$11)*100,0)%</f>
        <v>0</v>
      </c>
      <c r="D32" t="s">
        <v>84</v>
      </c>
      <c r="E32" t="s">
        <v>103</v>
      </c>
      <c r="F32" t="s">
        <v>126</v>
      </c>
    </row>
    <row r="33" spans="1:7">
      <c r="A33" t="s">
        <v>27</v>
      </c>
      <c r="B33">
        <f>'Fund Analysis'!C10</f>
        <v>0</v>
      </c>
      <c r="C33">
        <f>IF(SUM('Fund Analysis'!$C$7:$C$11)&gt;0,B35/SUM('Fund Analysis'!$C$7:$C$11)*100,0)%</f>
        <v>0</v>
      </c>
      <c r="D33" t="s">
        <v>85</v>
      </c>
      <c r="E33" t="s">
        <v>104</v>
      </c>
      <c r="F33" t="s">
        <v>127</v>
      </c>
    </row>
    <row r="34" spans="1:7">
      <c r="A34" t="s">
        <v>28</v>
      </c>
      <c r="B34">
        <f>'Fund Analysis'!C11</f>
        <v>0</v>
      </c>
      <c r="C34">
        <f>IF(SUM('Fund Analysis'!$C$7:$C$11)&gt;0,B36/SUM('Fund Analysis'!$C$7:$C$11)*100,0)%</f>
        <v>0</v>
      </c>
      <c r="D34" t="s">
        <v>86</v>
      </c>
      <c r="E34" t="s">
        <v>102</v>
      </c>
      <c r="F34" t="s">
        <v>128</v>
      </c>
    </row>
    <row r="35" spans="1:7">
      <c r="A35" t="s">
        <v>29</v>
      </c>
      <c r="B35">
        <f>SUM(B32:B36)</f>
        <v>0</v>
      </c>
      <c r="C35" t="s">
        <v>65</v>
      </c>
      <c r="D35" t="s">
        <v>87</v>
      </c>
      <c r="E35" t="s">
        <v>58</v>
      </c>
      <c r="F35" t="s">
        <v>129</v>
      </c>
    </row>
    <row r="37" spans="1:7">
      <c r="A37" t="s">
        <v>30</v>
      </c>
    </row>
    <row r="38" spans="1:7">
      <c r="A38" t="s">
        <v>31</v>
      </c>
      <c r="B38" t="s">
        <v>51</v>
      </c>
      <c r="C38" t="s">
        <v>66</v>
      </c>
      <c r="D38" t="s">
        <v>88</v>
      </c>
      <c r="E38" t="s">
        <v>105</v>
      </c>
      <c r="F38" t="s">
        <v>130</v>
      </c>
    </row>
    <row r="39" spans="1:7">
      <c r="A39" t="s">
        <v>32</v>
      </c>
      <c r="B39">
        <f>TEXT(B8,"0.0")&amp;" months","=IF(B8&gt;=6,"✓ Excellent",IF(B8&gt;=3,"Good","Needs work"))</f>
        <v>0</v>
      </c>
      <c r="C39">
        <f>IF(B8&gt;=6,"⭐⭐⭐",IF(B8&gt;=3,"⭐⭐","⭐"))</f>
        <v>0</v>
      </c>
      <c r="D39">
        <f>IF(B8&lt;3,"Urgent: Build to 3 months",IF(B8&lt;6,"Grow to 6 months","Expand to 9-12 months"))</f>
        <v>0</v>
      </c>
      <c r="E39">
        <f>IF(B8&lt;3,"HIGH",IF(B8&lt;6,"MEDIUM","LOW"))</f>
        <v>0</v>
      </c>
      <c r="F39">
        <f>IF(B8&lt;3,"URGENT",IF(B8&lt;6,"Important","Optional"))</f>
        <v>0</v>
      </c>
    </row>
    <row r="40" spans="1:7">
      <c r="A40" t="s">
        <v>33</v>
      </c>
      <c r="B40" t="s">
        <v>52</v>
      </c>
      <c r="C40" t="s">
        <v>67</v>
      </c>
      <c r="D40" t="s">
        <v>89</v>
      </c>
      <c r="E40" t="s">
        <v>106</v>
      </c>
      <c r="F40" t="s">
        <v>131</v>
      </c>
      <c r="G40" t="s">
        <v>134</v>
      </c>
    </row>
    <row r="41" spans="1:7">
      <c r="A41" t="s">
        <v>34</v>
      </c>
      <c r="B41">
        <f>ROUND(AVERAGE('Fund Analysis'!D7:D11),2)&amp;"%"</f>
        <v>0</v>
      </c>
      <c r="C41">
        <f>IF(AVERAGE('Fund Analysis'!D7:D11)&gt;=5,"Good","Fair")</f>
        <v>0</v>
      </c>
      <c r="D41">
        <f>IF(AVERAGE('Fund Analysis'!D7:D11)&gt;=5,"⭐⭐⭐","⭐⭐")</f>
        <v>0</v>
      </c>
      <c r="E41" t="s">
        <v>107</v>
      </c>
      <c r="F41" t="s">
        <v>131</v>
      </c>
      <c r="G41" t="s">
        <v>135</v>
      </c>
    </row>
    <row r="42" spans="1:7">
      <c r="A42" t="s">
        <v>35</v>
      </c>
      <c r="B42">
        <f>IF('Savings Timeline'!C16&gt;0,"On track","Below target")</f>
        <v>0</v>
      </c>
      <c r="C42">
        <f>IF('Savings Timeline'!C16&gt;'Expense Analysis'!B25*0.8,"✓ Good","⚠️ Review")</f>
        <v>0</v>
      </c>
      <c r="D42">
        <f>IF('Savings Timeline'!C16&gt;'Expense Analysis'!B25*0.8,"⭐⭐","⭐")</f>
        <v>0</v>
      </c>
      <c r="E42" t="s">
        <v>108</v>
      </c>
      <c r="F42" t="s">
        <v>132</v>
      </c>
      <c r="G42" t="s">
        <v>136</v>
      </c>
    </row>
    <row r="43" spans="1:7">
      <c r="A43" t="s">
        <v>36</v>
      </c>
      <c r="B43">
        <f>B24&amp;" months to 6-month goal"</f>
        <v>0</v>
      </c>
      <c r="C43">
        <f>IF(B24&lt;=12,"✓ Achievable","Needs boost")</f>
        <v>0</v>
      </c>
      <c r="D43">
        <f>IF(B24&lt;=12,"⭐⭐⭐","⭐")</f>
        <v>0</v>
      </c>
      <c r="E43">
        <f>IF(B24&gt;12,"Increase monthly savings","Stay consistent")</f>
        <v>0</v>
      </c>
      <c r="F43">
        <f>IF(B24&gt;12,"HIGH","MEDIUM")</f>
        <v>0</v>
      </c>
      <c r="G43" t="s">
        <v>136</v>
      </c>
    </row>
    <row r="45" spans="1:7">
      <c r="A45" t="s">
        <v>37</v>
      </c>
    </row>
    <row r="46" spans="1:7">
      <c r="A46" t="s">
        <v>38</v>
      </c>
      <c r="B46" t="s">
        <v>53</v>
      </c>
      <c r="C46" t="s">
        <v>68</v>
      </c>
      <c r="D46" t="s">
        <v>90</v>
      </c>
      <c r="E46" t="s">
        <v>109</v>
      </c>
      <c r="F46" t="s">
        <v>133</v>
      </c>
      <c r="G46" t="s">
        <v>51</v>
      </c>
    </row>
    <row r="47" spans="1:7">
      <c r="A47" t="s">
        <v>39</v>
      </c>
      <c r="B47">
        <f>'Expense Analysis'!B12</f>
        <v>0</v>
      </c>
      <c r="C47" t="s">
        <v>69</v>
      </c>
      <c r="D47">
        <f>'Expense Analysis'!B14</f>
        <v>0</v>
      </c>
      <c r="E47">
        <f>MIN(B6,D54)</f>
        <v>0</v>
      </c>
      <c r="F47">
        <f>MAX(0,C54-E54)</f>
        <v>0</v>
      </c>
      <c r="G47">
        <f>IF(F54&lt;=0,"✓ Covered","❌ Gap")</f>
        <v>0</v>
      </c>
    </row>
    <row r="48" spans="1:7">
      <c r="A48" t="s">
        <v>40</v>
      </c>
      <c r="B48">
        <f>'Expense Analysis'!B15</f>
        <v>0</v>
      </c>
      <c r="C48" t="s">
        <v>70</v>
      </c>
      <c r="D48">
        <f>B55</f>
        <v>0</v>
      </c>
      <c r="E48">
        <f>B6</f>
        <v>0</v>
      </c>
      <c r="F48">
        <f>MAX(0,C55-E55)</f>
        <v>0</v>
      </c>
      <c r="G48">
        <f>IF(F55&lt;=0,"✓ Covered","❌ Gap")</f>
        <v>0</v>
      </c>
    </row>
    <row r="49" spans="1:7">
      <c r="A49" t="s">
        <v>41</v>
      </c>
      <c r="B49" t="s">
        <v>54</v>
      </c>
      <c r="C49" t="s">
        <v>71</v>
      </c>
      <c r="D49" t="s">
        <v>91</v>
      </c>
      <c r="E49">
        <f>B6</f>
        <v>0</v>
      </c>
      <c r="F49">
        <f>MAX(0,150000-E56)</f>
        <v>0</v>
      </c>
      <c r="G49">
        <f>IF(F56&lt;=0,"✓ Covered","❌ Gap")</f>
        <v>0</v>
      </c>
    </row>
    <row r="50" spans="1:7">
      <c r="A50" t="s">
        <v>42</v>
      </c>
      <c r="B50" t="s">
        <v>55</v>
      </c>
      <c r="C50" t="s">
        <v>71</v>
      </c>
      <c r="D50" t="s">
        <v>92</v>
      </c>
      <c r="E50">
        <f>B6</f>
        <v>0</v>
      </c>
      <c r="F50">
        <f>MAX(0,100000-E57)</f>
        <v>0</v>
      </c>
      <c r="G50">
        <f>IF(F57&lt;=0,"✓ Covered","❌ Gap")</f>
        <v>0</v>
      </c>
    </row>
    <row r="51" spans="1:7">
      <c r="A51" t="s">
        <v>43</v>
      </c>
      <c r="B51">
        <f>'Expense Analysis'!B12</f>
        <v>0</v>
      </c>
      <c r="C51" t="s">
        <v>72</v>
      </c>
      <c r="D51">
        <f>'Expense Analysis'!B16</f>
        <v>0</v>
      </c>
      <c r="E51">
        <f>B6</f>
        <v>0</v>
      </c>
      <c r="F51">
        <f>MAX(0,C58-E58)</f>
        <v>0</v>
      </c>
      <c r="G51">
        <f>IF(F58&lt;=0,"✓ Covered","❌ Gap")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50.7109375" customWidth="1"/>
    <col min="2" max="2" width="29.7109375" customWidth="1"/>
    <col min="3" max="3" width="19.7109375" customWidth="1"/>
    <col min="4" max="4" width="30.7109375" customWidth="1"/>
    <col min="5" max="5" width="28.7109375" customWidth="1"/>
    <col min="6" max="6" width="29.7109375" customWidth="1"/>
  </cols>
  <sheetData>
    <row r="1" spans="1:6">
      <c r="A1" t="s">
        <v>224</v>
      </c>
    </row>
    <row r="3" spans="1:6">
      <c r="A3" t="s">
        <v>138</v>
      </c>
    </row>
    <row r="5" spans="1:6">
      <c r="A5" t="s">
        <v>139</v>
      </c>
    </row>
    <row r="6" spans="1:6">
      <c r="A6" t="s">
        <v>140</v>
      </c>
      <c r="B6" t="s">
        <v>168</v>
      </c>
      <c r="C6" t="s">
        <v>182</v>
      </c>
      <c r="D6" t="s">
        <v>185</v>
      </c>
      <c r="E6" t="s">
        <v>195</v>
      </c>
      <c r="F6" t="s">
        <v>205</v>
      </c>
    </row>
    <row r="7" spans="1:6">
      <c r="A7" t="s">
        <v>141</v>
      </c>
      <c r="B7" t="s">
        <v>169</v>
      </c>
      <c r="C7">
        <f>B7*12</f>
        <v>0</v>
      </c>
      <c r="D7">
        <f>B7/B17*100%</f>
        <v>0</v>
      </c>
      <c r="E7" t="s">
        <v>95</v>
      </c>
      <c r="F7" t="s">
        <v>206</v>
      </c>
    </row>
    <row r="8" spans="1:6">
      <c r="A8" t="s">
        <v>142</v>
      </c>
      <c r="B8" t="s">
        <v>170</v>
      </c>
      <c r="C8">
        <f>B8*12</f>
        <v>0</v>
      </c>
      <c r="D8">
        <f>B8/B17*100%</f>
        <v>0</v>
      </c>
      <c r="E8" t="s">
        <v>95</v>
      </c>
      <c r="F8" t="s">
        <v>207</v>
      </c>
    </row>
    <row r="9" spans="1:6">
      <c r="A9" t="s">
        <v>143</v>
      </c>
      <c r="B9" t="s">
        <v>171</v>
      </c>
      <c r="C9">
        <f>B9*12</f>
        <v>0</v>
      </c>
      <c r="D9">
        <f>B9/B17*100%</f>
        <v>0</v>
      </c>
      <c r="E9" t="s">
        <v>95</v>
      </c>
      <c r="F9" t="s">
        <v>208</v>
      </c>
    </row>
    <row r="10" spans="1:6">
      <c r="A10" t="s">
        <v>144</v>
      </c>
      <c r="B10" t="s">
        <v>172</v>
      </c>
      <c r="C10">
        <f>B10*12</f>
        <v>0</v>
      </c>
      <c r="D10">
        <f>B10/B17*100%</f>
        <v>0</v>
      </c>
      <c r="E10" t="s">
        <v>95</v>
      </c>
      <c r="F10" t="s">
        <v>209</v>
      </c>
    </row>
    <row r="11" spans="1:6">
      <c r="A11" t="s">
        <v>145</v>
      </c>
      <c r="B11" t="s">
        <v>173</v>
      </c>
      <c r="C11">
        <f>B11*12</f>
        <v>0</v>
      </c>
      <c r="D11">
        <f>B11/B17*100%</f>
        <v>0</v>
      </c>
      <c r="E11" t="s">
        <v>95</v>
      </c>
      <c r="F11" t="s">
        <v>210</v>
      </c>
    </row>
    <row r="12" spans="1:6">
      <c r="A12" t="s">
        <v>146</v>
      </c>
      <c r="B12" t="s">
        <v>174</v>
      </c>
      <c r="C12">
        <f>B12*12</f>
        <v>0</v>
      </c>
      <c r="D12">
        <f>B12/B17*100%</f>
        <v>0</v>
      </c>
      <c r="E12" t="s">
        <v>95</v>
      </c>
      <c r="F12" t="s">
        <v>211</v>
      </c>
    </row>
    <row r="13" spans="1:6">
      <c r="A13" t="s">
        <v>147</v>
      </c>
      <c r="B13" t="s">
        <v>175</v>
      </c>
      <c r="C13">
        <f>B13*12</f>
        <v>0</v>
      </c>
      <c r="D13">
        <f>B13/B17*100%</f>
        <v>0</v>
      </c>
      <c r="E13" t="s">
        <v>95</v>
      </c>
      <c r="F13" t="s">
        <v>212</v>
      </c>
    </row>
    <row r="14" spans="1:6">
      <c r="A14" t="s">
        <v>148</v>
      </c>
      <c r="B14" t="s">
        <v>171</v>
      </c>
      <c r="C14">
        <f>B14*12</f>
        <v>0</v>
      </c>
      <c r="D14">
        <f>B14/B17*100%</f>
        <v>0</v>
      </c>
      <c r="E14" t="s">
        <v>95</v>
      </c>
      <c r="F14" t="s">
        <v>213</v>
      </c>
    </row>
    <row r="15" spans="1:6">
      <c r="A15" t="s">
        <v>149</v>
      </c>
      <c r="B15" t="s">
        <v>176</v>
      </c>
      <c r="C15">
        <f>B15*12</f>
        <v>0</v>
      </c>
      <c r="D15">
        <f>B15/B17*100%</f>
        <v>0</v>
      </c>
      <c r="E15" t="s">
        <v>95</v>
      </c>
      <c r="F15" t="s">
        <v>214</v>
      </c>
    </row>
    <row r="16" spans="1:6">
      <c r="A16" t="s">
        <v>150</v>
      </c>
      <c r="B16" t="s">
        <v>177</v>
      </c>
      <c r="C16">
        <f>B16*12</f>
        <v>0</v>
      </c>
      <c r="D16">
        <f>B16/B17*100%</f>
        <v>0</v>
      </c>
      <c r="E16" t="s">
        <v>95</v>
      </c>
      <c r="F16" t="s">
        <v>215</v>
      </c>
    </row>
    <row r="18" spans="1:6">
      <c r="A18" t="s">
        <v>151</v>
      </c>
    </row>
    <row r="19" spans="1:6">
      <c r="A19" t="s">
        <v>152</v>
      </c>
      <c r="B19">
        <f>SUM(B7:B16)</f>
        <v>0</v>
      </c>
      <c r="C19">
        <f>SUM(C7:C16)</f>
        <v>0</v>
      </c>
      <c r="D19" t="s">
        <v>65</v>
      </c>
      <c r="E19" t="s">
        <v>196</v>
      </c>
      <c r="F19" t="s">
        <v>76</v>
      </c>
    </row>
    <row r="20" spans="1:6">
      <c r="A20" t="s">
        <v>153</v>
      </c>
      <c r="B20">
        <f>B17*0.10</f>
        <v>0</v>
      </c>
      <c r="C20">
        <f>C17*0.10</f>
        <v>0</v>
      </c>
      <c r="E20" t="s">
        <v>197</v>
      </c>
      <c r="F20" t="s">
        <v>216</v>
      </c>
    </row>
    <row r="21" spans="1:6">
      <c r="A21" t="s">
        <v>154</v>
      </c>
      <c r="B21">
        <f>B17+B18</f>
        <v>0</v>
      </c>
      <c r="C21">
        <f>C17+C18</f>
        <v>0</v>
      </c>
      <c r="D21" t="s">
        <v>186</v>
      </c>
      <c r="F21" t="s">
        <v>217</v>
      </c>
    </row>
    <row r="23" spans="1:6">
      <c r="A23" t="s">
        <v>155</v>
      </c>
    </row>
    <row r="24" spans="1:6">
      <c r="A24" t="s">
        <v>68</v>
      </c>
      <c r="B24" t="s">
        <v>178</v>
      </c>
      <c r="C24" t="s">
        <v>183</v>
      </c>
      <c r="D24" t="s">
        <v>187</v>
      </c>
      <c r="E24" t="s">
        <v>198</v>
      </c>
      <c r="F24" t="s">
        <v>130</v>
      </c>
    </row>
    <row r="25" spans="1:6">
      <c r="A25" t="s">
        <v>156</v>
      </c>
      <c r="B25">
        <f>B17*1</f>
        <v>0</v>
      </c>
      <c r="C25">
        <f>B20</f>
        <v>0</v>
      </c>
      <c r="D25" t="s">
        <v>188</v>
      </c>
      <c r="E25">
        <f>IF(B20&gt;0,"Calculate","0")</f>
        <v>0</v>
      </c>
      <c r="F25" t="s">
        <v>218</v>
      </c>
    </row>
    <row r="26" spans="1:6">
      <c r="A26" t="s">
        <v>157</v>
      </c>
      <c r="B26">
        <f>B17*3</f>
        <v>0</v>
      </c>
      <c r="C26">
        <f>B17*3</f>
        <v>0</v>
      </c>
      <c r="D26" t="s">
        <v>189</v>
      </c>
      <c r="E26">
        <f>IF(B21&gt;0,"Calculate","0")</f>
        <v>0</v>
      </c>
      <c r="F26" t="s">
        <v>218</v>
      </c>
    </row>
    <row r="27" spans="1:6">
      <c r="A27" t="s">
        <v>158</v>
      </c>
      <c r="B27">
        <f>B17*6</f>
        <v>0</v>
      </c>
      <c r="C27">
        <f>B17*6</f>
        <v>0</v>
      </c>
      <c r="D27" t="s">
        <v>190</v>
      </c>
      <c r="E27">
        <f>IF(B22&gt;0,"Calculate","0")</f>
        <v>0</v>
      </c>
      <c r="F27" t="s">
        <v>132</v>
      </c>
    </row>
    <row r="28" spans="1:6">
      <c r="A28" t="s">
        <v>159</v>
      </c>
      <c r="B28">
        <f>B17*9</f>
        <v>0</v>
      </c>
      <c r="C28">
        <f>B17*9</f>
        <v>0</v>
      </c>
      <c r="D28" t="s">
        <v>191</v>
      </c>
      <c r="E28">
        <f>IF(B23&gt;0,"Calculate","0")</f>
        <v>0</v>
      </c>
      <c r="F28" t="s">
        <v>132</v>
      </c>
    </row>
    <row r="29" spans="1:6">
      <c r="A29" t="s">
        <v>160</v>
      </c>
      <c r="B29">
        <f>B17*12</f>
        <v>0</v>
      </c>
      <c r="C29">
        <f>B17*12</f>
        <v>0</v>
      </c>
      <c r="D29" t="s">
        <v>192</v>
      </c>
      <c r="E29">
        <f>IF(B24&gt;0,"Calculate","0")</f>
        <v>0</v>
      </c>
      <c r="F29" t="s">
        <v>131</v>
      </c>
    </row>
    <row r="31" spans="1:6">
      <c r="A31" t="s">
        <v>161</v>
      </c>
    </row>
    <row r="32" spans="1:6">
      <c r="A32" t="s">
        <v>1</v>
      </c>
      <c r="B32" t="s">
        <v>179</v>
      </c>
      <c r="C32" t="s">
        <v>184</v>
      </c>
      <c r="D32" t="s">
        <v>193</v>
      </c>
      <c r="E32" t="s">
        <v>51</v>
      </c>
      <c r="F32" t="s">
        <v>205</v>
      </c>
    </row>
    <row r="33" spans="1:6">
      <c r="A33" t="s">
        <v>162</v>
      </c>
      <c r="B33" t="s">
        <v>180</v>
      </c>
      <c r="C33">
        <f>B26*12</f>
        <v>0</v>
      </c>
      <c r="D33" t="s">
        <v>65</v>
      </c>
      <c r="E33" t="s">
        <v>199</v>
      </c>
      <c r="F33" t="s">
        <v>219</v>
      </c>
    </row>
    <row r="34" spans="1:6">
      <c r="A34" t="s">
        <v>163</v>
      </c>
      <c r="B34" t="s">
        <v>181</v>
      </c>
      <c r="C34">
        <f>B27*12</f>
        <v>0</v>
      </c>
      <c r="D34" t="s">
        <v>194</v>
      </c>
      <c r="E34" t="s">
        <v>200</v>
      </c>
      <c r="F34" t="s">
        <v>220</v>
      </c>
    </row>
    <row r="35" spans="1:6">
      <c r="A35" t="s">
        <v>164</v>
      </c>
      <c r="B35">
        <f>B19</f>
        <v>0</v>
      </c>
      <c r="C35">
        <f>C19</f>
        <v>0</v>
      </c>
      <c r="D35">
        <f>B28/B26*100%</f>
        <v>0</v>
      </c>
      <c r="E35" t="s">
        <v>201</v>
      </c>
      <c r="F35" t="s">
        <v>221</v>
      </c>
    </row>
    <row r="36" spans="1:6">
      <c r="A36" t="s">
        <v>165</v>
      </c>
      <c r="B36">
        <f>B27-B28</f>
        <v>0</v>
      </c>
      <c r="C36">
        <f>C27-C28</f>
        <v>0</v>
      </c>
      <c r="D36">
        <f>(B29/B27)*100%</f>
        <v>0</v>
      </c>
      <c r="E36" t="s">
        <v>202</v>
      </c>
      <c r="F36" t="s">
        <v>222</v>
      </c>
    </row>
    <row r="37" spans="1:6">
      <c r="A37" t="s">
        <v>166</v>
      </c>
      <c r="B37">
        <f>IF(B29&gt;0,MIN(B29,B17/6),0)</f>
        <v>0</v>
      </c>
      <c r="C37">
        <f>C30*12</f>
        <v>0</v>
      </c>
      <c r="D37">
        <f>IF(B30&gt;0,(B30/B27)*100%,0)%</f>
        <v>0</v>
      </c>
      <c r="E37" t="s">
        <v>203</v>
      </c>
      <c r="F37" t="s">
        <v>79</v>
      </c>
    </row>
    <row r="38" spans="1:6">
      <c r="A38" t="s">
        <v>167</v>
      </c>
      <c r="B38">
        <f>(B30/B27)*100%</f>
        <v>0</v>
      </c>
      <c r="C38">
        <f>(C30/C27)*100%</f>
        <v>0</v>
      </c>
      <c r="E38" t="s">
        <v>204</v>
      </c>
      <c r="F38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1" max="3" width="50.7109375" customWidth="1"/>
    <col min="4" max="4" width="20.7109375" customWidth="1"/>
    <col min="5" max="5" width="41.7109375" customWidth="1"/>
    <col min="6" max="6" width="25.7109375" customWidth="1"/>
    <col min="7" max="7" width="26.7109375" customWidth="1"/>
  </cols>
  <sheetData>
    <row r="1" spans="1:6">
      <c r="A1" t="s">
        <v>282</v>
      </c>
    </row>
    <row r="3" spans="1:6">
      <c r="A3" t="s">
        <v>225</v>
      </c>
    </row>
    <row r="5" spans="1:6">
      <c r="A5" t="s">
        <v>226</v>
      </c>
    </row>
    <row r="6" spans="1:6">
      <c r="A6" t="s">
        <v>23</v>
      </c>
      <c r="B6" t="s">
        <v>242</v>
      </c>
      <c r="C6" t="s">
        <v>185</v>
      </c>
      <c r="D6" t="s">
        <v>251</v>
      </c>
      <c r="E6" t="s">
        <v>257</v>
      </c>
      <c r="F6" t="s">
        <v>105</v>
      </c>
    </row>
    <row r="7" spans="1:6">
      <c r="A7" t="s">
        <v>227</v>
      </c>
      <c r="B7">
        <f>IF('Expense Analysis'!B17*1&gt;0,'Expense Analysis'!B17*1,0)</f>
        <v>0</v>
      </c>
      <c r="C7">
        <f>IF(SUM(C7:C11)&gt;0,C7/SUM($C$7:$C$11)*100%,0)</f>
        <v>0</v>
      </c>
      <c r="D7" t="s">
        <v>82</v>
      </c>
      <c r="E7" t="s">
        <v>258</v>
      </c>
      <c r="F7" t="s">
        <v>264</v>
      </c>
    </row>
    <row r="8" spans="1:6">
      <c r="A8" t="s">
        <v>228</v>
      </c>
      <c r="B8">
        <f>IF('Expense Analysis'!B17*3&gt;0,'Expense Analysis'!B17*3,0)</f>
        <v>0</v>
      </c>
      <c r="C8">
        <f>IF(SUM(C7:C11)&gt;0,C8/SUM($C$7:$C$11)*100%,0)</f>
        <v>0</v>
      </c>
      <c r="D8" t="s">
        <v>83</v>
      </c>
      <c r="E8" t="s">
        <v>102</v>
      </c>
      <c r="F8" t="s">
        <v>264</v>
      </c>
    </row>
    <row r="9" spans="1:6">
      <c r="A9" t="s">
        <v>26</v>
      </c>
      <c r="B9">
        <f>IF('Expense Analysis'!B17*1.5&gt;0,'Expense Analysis'!B17*1.5,0)</f>
        <v>0</v>
      </c>
      <c r="C9">
        <f>IF(SUM(C7:C11)&gt;0,C9/SUM($C$7:$C$11)*100%,0)</f>
        <v>0</v>
      </c>
      <c r="D9" t="s">
        <v>84</v>
      </c>
      <c r="E9" t="s">
        <v>103</v>
      </c>
      <c r="F9" t="s">
        <v>265</v>
      </c>
    </row>
    <row r="10" spans="1:6">
      <c r="A10" t="s">
        <v>27</v>
      </c>
      <c r="B10">
        <f>IF('Expense Analysis'!B17*0.5&gt;0,'Expense Analysis'!B17*0.5,0)</f>
        <v>0</v>
      </c>
      <c r="C10">
        <f>IF(SUM(C7:C11)&gt;0,C10/SUM($C$7:$C$11)*100%,0)</f>
        <v>0</v>
      </c>
      <c r="D10" t="s">
        <v>85</v>
      </c>
      <c r="E10" t="s">
        <v>104</v>
      </c>
      <c r="F10" t="s">
        <v>265</v>
      </c>
    </row>
    <row r="11" spans="1:6">
      <c r="A11" t="s">
        <v>28</v>
      </c>
      <c r="B11">
        <f>IF('Expense Analysis'!B17*0.5&gt;0,'Expense Analysis'!B17*0.5,0)</f>
        <v>0</v>
      </c>
      <c r="C11">
        <f>IF(SUM(C7:C11)&gt;0,C11/SUM($C$7:$C$11)*100%,0)</f>
        <v>0</v>
      </c>
      <c r="D11" t="s">
        <v>86</v>
      </c>
      <c r="E11" t="s">
        <v>102</v>
      </c>
      <c r="F11" t="s">
        <v>264</v>
      </c>
    </row>
    <row r="12" spans="1:6">
      <c r="A12" t="s">
        <v>29</v>
      </c>
      <c r="B12">
        <f>SUM(C7:C11)</f>
        <v>0</v>
      </c>
      <c r="C12" t="s">
        <v>65</v>
      </c>
      <c r="D12">
        <f>AVERAGE(D7:D11)</f>
        <v>0</v>
      </c>
      <c r="E12" t="s">
        <v>259</v>
      </c>
      <c r="F12" t="s">
        <v>264</v>
      </c>
    </row>
    <row r="14" spans="1:6">
      <c r="A14" t="s">
        <v>229</v>
      </c>
    </row>
    <row r="15" spans="1:6">
      <c r="A15" t="s">
        <v>230</v>
      </c>
      <c r="B15" t="s">
        <v>243</v>
      </c>
      <c r="C15" t="s">
        <v>248</v>
      </c>
      <c r="D15" t="s">
        <v>252</v>
      </c>
      <c r="E15" t="s">
        <v>94</v>
      </c>
      <c r="F15" t="s">
        <v>75</v>
      </c>
    </row>
    <row r="16" spans="1:6">
      <c r="A16" t="s">
        <v>24</v>
      </c>
      <c r="B16">
        <f>IF(C7&gt;0,C7,0)</f>
        <v>0</v>
      </c>
      <c r="C16">
        <f>IF('Expense Analysis'!B17*1&gt;0,'Expense Analysis'!B17*1,0)</f>
        <v>0</v>
      </c>
      <c r="D16">
        <f>MAX(0,D16-C16)</f>
        <v>0</v>
      </c>
      <c r="E16">
        <f>IF(E16&gt;0,"Build up","Adequate")</f>
        <v>0</v>
      </c>
      <c r="F16" t="s">
        <v>266</v>
      </c>
    </row>
    <row r="17" spans="1:7">
      <c r="A17" t="s">
        <v>25</v>
      </c>
      <c r="B17">
        <f>IF(C8&gt;0,C8,0)</f>
        <v>0</v>
      </c>
      <c r="C17">
        <f>IF('Expense Analysis'!B17*3&gt;0,'Expense Analysis'!B17*3,0)</f>
        <v>0</v>
      </c>
      <c r="D17">
        <f>MAX(0,D17-C17)</f>
        <v>0</v>
      </c>
      <c r="E17">
        <f>IF(E17&gt;0,"Invest now","Adequate")</f>
        <v>0</v>
      </c>
      <c r="F17" t="s">
        <v>267</v>
      </c>
    </row>
    <row r="18" spans="1:7">
      <c r="A18" t="s">
        <v>231</v>
      </c>
      <c r="B18">
        <f>IF(C9&gt;0,C9,0)</f>
        <v>0</v>
      </c>
      <c r="C18">
        <f>IF('Expense Analysis'!B17*1.5&gt;0,'Expense Analysis'!B17*1.5,0)</f>
        <v>0</v>
      </c>
      <c r="D18">
        <f>MAX(0,D18-C18)</f>
        <v>0</v>
      </c>
      <c r="E18">
        <f>IF(E18&gt;0,"Lock funds","Adequate")</f>
        <v>0</v>
      </c>
      <c r="F18" t="s">
        <v>268</v>
      </c>
    </row>
    <row r="19" spans="1:7">
      <c r="A19" t="s">
        <v>232</v>
      </c>
      <c r="B19">
        <f>IF(C10&gt;0,C10,0)</f>
        <v>0</v>
      </c>
      <c r="C19">
        <f>IF('Expense Analysis'!B17*0.5&gt;0,'Expense Analysis'!B17*0.5,0)</f>
        <v>0</v>
      </c>
      <c r="D19">
        <f>MAX(0,D19-C19)</f>
        <v>0</v>
      </c>
      <c r="E19">
        <f>IF(E19&gt;0,"Open new FD","Adequate")</f>
        <v>0</v>
      </c>
      <c r="F19" t="s">
        <v>268</v>
      </c>
    </row>
    <row r="20" spans="1:7">
      <c r="A20" t="s">
        <v>28</v>
      </c>
      <c r="B20">
        <f>IF(C11&gt;0,C11,0)</f>
        <v>0</v>
      </c>
      <c r="C20">
        <f>IF('Expense Analysis'!B17*0.5&gt;0,'Expense Analysis'!B17*0.5,0)</f>
        <v>0</v>
      </c>
      <c r="D20">
        <f>MAX(0,D20-C20)</f>
        <v>0</v>
      </c>
      <c r="E20">
        <f>IF(E20&gt;0,"Explore options","Adequate")</f>
        <v>0</v>
      </c>
      <c r="F20" t="s">
        <v>99</v>
      </c>
    </row>
    <row r="22" spans="1:7">
      <c r="A22" t="s">
        <v>233</v>
      </c>
    </row>
    <row r="23" spans="1:7">
      <c r="A23" t="s">
        <v>234</v>
      </c>
      <c r="B23" t="s">
        <v>24</v>
      </c>
      <c r="C23" t="s">
        <v>25</v>
      </c>
      <c r="D23" t="s">
        <v>253</v>
      </c>
      <c r="E23" t="s">
        <v>260</v>
      </c>
      <c r="F23" t="s">
        <v>269</v>
      </c>
      <c r="G23" t="s">
        <v>276</v>
      </c>
    </row>
    <row r="24" spans="1:7">
      <c r="A24" t="s">
        <v>235</v>
      </c>
      <c r="B24" t="s">
        <v>244</v>
      </c>
      <c r="C24" t="s">
        <v>244</v>
      </c>
      <c r="D24" t="s">
        <v>254</v>
      </c>
      <c r="E24" t="s">
        <v>261</v>
      </c>
      <c r="F24" t="s">
        <v>254</v>
      </c>
      <c r="G24" t="s">
        <v>277</v>
      </c>
    </row>
    <row r="25" spans="1:7">
      <c r="A25" t="s">
        <v>236</v>
      </c>
      <c r="B25" t="s">
        <v>245</v>
      </c>
      <c r="C25" t="s">
        <v>249</v>
      </c>
      <c r="D25" t="s">
        <v>255</v>
      </c>
      <c r="E25" t="s">
        <v>262</v>
      </c>
      <c r="F25" t="s">
        <v>262</v>
      </c>
      <c r="G25" t="s">
        <v>278</v>
      </c>
    </row>
    <row r="26" spans="1:7">
      <c r="A26" t="s">
        <v>237</v>
      </c>
      <c r="B26" t="s">
        <v>246</v>
      </c>
      <c r="C26" t="s">
        <v>244</v>
      </c>
      <c r="D26" t="s">
        <v>246</v>
      </c>
      <c r="E26" t="s">
        <v>254</v>
      </c>
      <c r="F26" t="s">
        <v>254</v>
      </c>
      <c r="G26" t="s">
        <v>279</v>
      </c>
    </row>
    <row r="27" spans="1:7">
      <c r="A27" t="s">
        <v>238</v>
      </c>
      <c r="B27" t="s">
        <v>247</v>
      </c>
      <c r="C27" t="s">
        <v>245</v>
      </c>
      <c r="D27" t="s">
        <v>254</v>
      </c>
      <c r="E27" t="s">
        <v>262</v>
      </c>
      <c r="F27" t="s">
        <v>262</v>
      </c>
      <c r="G27" t="s">
        <v>280</v>
      </c>
    </row>
    <row r="28" spans="1:7">
      <c r="A28" t="s">
        <v>239</v>
      </c>
      <c r="B28" t="s">
        <v>245</v>
      </c>
      <c r="C28" t="s">
        <v>250</v>
      </c>
      <c r="D28" t="s">
        <v>255</v>
      </c>
      <c r="E28" t="s">
        <v>255</v>
      </c>
      <c r="F28" t="s">
        <v>262</v>
      </c>
      <c r="G28" t="s">
        <v>281</v>
      </c>
    </row>
    <row r="30" spans="1:7">
      <c r="A30" t="s">
        <v>240</v>
      </c>
    </row>
    <row r="31" spans="1:7">
      <c r="A31" t="s">
        <v>23</v>
      </c>
      <c r="B31" t="s">
        <v>183</v>
      </c>
      <c r="C31" t="s">
        <v>34</v>
      </c>
      <c r="D31" t="s">
        <v>256</v>
      </c>
      <c r="E31" t="s">
        <v>263</v>
      </c>
      <c r="F31" t="s">
        <v>205</v>
      </c>
    </row>
    <row r="32" spans="1:7">
      <c r="A32" t="s">
        <v>24</v>
      </c>
      <c r="B32">
        <f>C7</f>
        <v>0</v>
      </c>
      <c r="C32">
        <f>D7</f>
        <v>0</v>
      </c>
      <c r="D32">
        <f>C7*D7/100</f>
        <v>0</v>
      </c>
      <c r="E32">
        <f>D30/SUM($D$30:$D$34)</f>
        <v>0</v>
      </c>
      <c r="F32" t="s">
        <v>270</v>
      </c>
    </row>
    <row r="33" spans="1:6">
      <c r="A33" t="s">
        <v>25</v>
      </c>
      <c r="B33">
        <f>C8</f>
        <v>0</v>
      </c>
      <c r="C33">
        <f>D8</f>
        <v>0</v>
      </c>
      <c r="D33">
        <f>C8*D8/100</f>
        <v>0</v>
      </c>
      <c r="E33">
        <f>D31/SUM($D$30:$D$34)</f>
        <v>0</v>
      </c>
      <c r="F33" t="s">
        <v>271</v>
      </c>
    </row>
    <row r="34" spans="1:6">
      <c r="A34" t="s">
        <v>231</v>
      </c>
      <c r="B34">
        <f>C9</f>
        <v>0</v>
      </c>
      <c r="C34">
        <f>D9</f>
        <v>0</v>
      </c>
      <c r="D34">
        <f>C9*D9/100</f>
        <v>0</v>
      </c>
      <c r="E34">
        <f>D32/SUM($D$30:$D$34)</f>
        <v>0</v>
      </c>
      <c r="F34" t="s">
        <v>272</v>
      </c>
    </row>
    <row r="35" spans="1:6">
      <c r="A35" t="s">
        <v>232</v>
      </c>
      <c r="B35">
        <f>C10</f>
        <v>0</v>
      </c>
      <c r="C35">
        <f>D10</f>
        <v>0</v>
      </c>
      <c r="D35">
        <f>C10*D10/100</f>
        <v>0</v>
      </c>
      <c r="E35">
        <f>D33/SUM($D$30:$D$34)</f>
        <v>0</v>
      </c>
      <c r="F35" t="s">
        <v>273</v>
      </c>
    </row>
    <row r="36" spans="1:6">
      <c r="A36" t="s">
        <v>28</v>
      </c>
      <c r="B36">
        <f>C11</f>
        <v>0</v>
      </c>
      <c r="C36">
        <f>D11</f>
        <v>0</v>
      </c>
      <c r="D36">
        <f>C11*D11/100</f>
        <v>0</v>
      </c>
      <c r="E36">
        <f>D34/SUM($D$30:$D$34)</f>
        <v>0</v>
      </c>
      <c r="F36" t="s">
        <v>274</v>
      </c>
    </row>
    <row r="37" spans="1:6">
      <c r="A37" t="s">
        <v>241</v>
      </c>
      <c r="B37">
        <f>SUM(C30:C34)</f>
        <v>0</v>
      </c>
      <c r="C37" t="s">
        <v>87</v>
      </c>
      <c r="D37">
        <f>SUM(D30:D34)</f>
        <v>0</v>
      </c>
      <c r="E37" t="s">
        <v>65</v>
      </c>
      <c r="F37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cols>
    <col min="1" max="1" width="50.7109375" customWidth="1"/>
    <col min="2" max="2" width="28.7109375" customWidth="1"/>
    <col min="3" max="3" width="39.7109375" customWidth="1"/>
    <col min="4" max="6" width="50.7109375" customWidth="1"/>
  </cols>
  <sheetData>
    <row r="1" spans="1:6">
      <c r="A1" t="s">
        <v>379</v>
      </c>
    </row>
    <row r="3" spans="1:6">
      <c r="A3" t="s">
        <v>283</v>
      </c>
    </row>
    <row r="5" spans="1:6">
      <c r="A5" t="s">
        <v>284</v>
      </c>
    </row>
    <row r="6" spans="1:6">
      <c r="A6" t="s">
        <v>1</v>
      </c>
      <c r="B6" t="s">
        <v>316</v>
      </c>
      <c r="C6" t="s">
        <v>328</v>
      </c>
      <c r="D6" t="s">
        <v>333</v>
      </c>
      <c r="E6" t="s">
        <v>51</v>
      </c>
      <c r="F6" t="s">
        <v>205</v>
      </c>
    </row>
    <row r="7" spans="1:6">
      <c r="A7" t="s">
        <v>285</v>
      </c>
      <c r="B7" t="s">
        <v>317</v>
      </c>
      <c r="C7">
        <f>'Expense Analysis'!B17*6</f>
        <v>0</v>
      </c>
      <c r="D7">
        <f>'Expense Analysis'!B22</f>
        <v>0</v>
      </c>
      <c r="E7" t="s">
        <v>344</v>
      </c>
      <c r="F7" t="s">
        <v>355</v>
      </c>
    </row>
    <row r="8" spans="1:6">
      <c r="A8" t="s">
        <v>286</v>
      </c>
      <c r="B8" t="s">
        <v>318</v>
      </c>
      <c r="C8" t="s">
        <v>329</v>
      </c>
      <c r="D8">
        <f>SUM('Fund Analysis'!C7:C11)</f>
        <v>0</v>
      </c>
      <c r="E8" t="s">
        <v>345</v>
      </c>
      <c r="F8" t="s">
        <v>356</v>
      </c>
    </row>
    <row r="9" spans="1:6">
      <c r="A9" t="s">
        <v>287</v>
      </c>
      <c r="B9" t="s">
        <v>319</v>
      </c>
      <c r="C9">
        <f>C7-C8</f>
        <v>0</v>
      </c>
      <c r="D9">
        <f>MAX(0,'Expense Analysis'!B22-SUM('Fund Analysis'!C7:C11))</f>
        <v>0</v>
      </c>
      <c r="E9" t="s">
        <v>346</v>
      </c>
      <c r="F9" t="s">
        <v>357</v>
      </c>
    </row>
    <row r="10" spans="1:6">
      <c r="A10" t="s">
        <v>288</v>
      </c>
      <c r="B10" t="s">
        <v>204</v>
      </c>
      <c r="C10" t="s">
        <v>330</v>
      </c>
      <c r="D10">
        <f>'Expense Analysis'!B30</f>
        <v>0</v>
      </c>
      <c r="E10" t="s">
        <v>347</v>
      </c>
      <c r="F10" t="s">
        <v>358</v>
      </c>
    </row>
    <row r="11" spans="1:6">
      <c r="A11" t="s">
        <v>20</v>
      </c>
      <c r="B11" t="s">
        <v>75</v>
      </c>
      <c r="C11">
        <f>C9/C10</f>
        <v>0</v>
      </c>
      <c r="D11">
        <f>IF(C10&gt;0,CEILING(C9/C10),999)</f>
        <v>0</v>
      </c>
      <c r="E11" t="s">
        <v>98</v>
      </c>
      <c r="F11" t="s">
        <v>359</v>
      </c>
    </row>
    <row r="13" spans="1:6">
      <c r="A13" t="s">
        <v>289</v>
      </c>
    </row>
    <row r="14" spans="1:6">
      <c r="A14" t="s">
        <v>290</v>
      </c>
      <c r="B14" t="s">
        <v>320</v>
      </c>
      <c r="C14" t="s">
        <v>331</v>
      </c>
      <c r="D14" t="s">
        <v>334</v>
      </c>
      <c r="E14" t="s">
        <v>348</v>
      </c>
      <c r="F14" t="s">
        <v>51</v>
      </c>
    </row>
    <row r="15" spans="1:6">
      <c r="A15" t="s">
        <v>291</v>
      </c>
      <c r="B15">
        <f>'Expense Analysis'!B17</f>
        <v>0</v>
      </c>
      <c r="C15">
        <f>'Expense Analysis'!B30</f>
        <v>0</v>
      </c>
      <c r="D15">
        <f>'Expense Analysis'!B30</f>
        <v>0</v>
      </c>
      <c r="E15">
        <f>IF('Expense Analysis'!B30&gt;0,('Expense Analysis'!B30/'Expense Analysis'!B22)*100,0)%</f>
        <v>0</v>
      </c>
      <c r="F15" t="s">
        <v>360</v>
      </c>
    </row>
    <row r="16" spans="1:6">
      <c r="A16" t="s">
        <v>292</v>
      </c>
      <c r="B16">
        <f>'Expense Analysis'!B17*2</f>
        <v>0</v>
      </c>
      <c r="C16">
        <f>'Expense Analysis'!B30</f>
        <v>0</v>
      </c>
      <c r="D16">
        <f>B18*C18</f>
        <v>0</v>
      </c>
      <c r="E16">
        <f>IF(B18&gt;0,(B18/'Expense Analysis'!B22)*100,0)%</f>
        <v>0</v>
      </c>
      <c r="F16" t="s">
        <v>361</v>
      </c>
    </row>
    <row r="17" spans="1:6">
      <c r="A17" t="s">
        <v>293</v>
      </c>
      <c r="B17">
        <f>'Expense Analysis'!B17*3</f>
        <v>0</v>
      </c>
      <c r="C17">
        <f>'Expense Analysis'!B30</f>
        <v>0</v>
      </c>
      <c r="D17">
        <f>B19*C19</f>
        <v>0</v>
      </c>
      <c r="E17">
        <f>IF(B19&gt;0,(B19/'Expense Analysis'!B22)*100,0)%</f>
        <v>0</v>
      </c>
      <c r="F17" t="s">
        <v>362</v>
      </c>
    </row>
    <row r="18" spans="1:6">
      <c r="A18" t="s">
        <v>294</v>
      </c>
      <c r="B18">
        <f>'Expense Analysis'!B17*4</f>
        <v>0</v>
      </c>
      <c r="C18">
        <f>'Expense Analysis'!B30</f>
        <v>0</v>
      </c>
      <c r="D18">
        <f>B20*C20</f>
        <v>0</v>
      </c>
      <c r="E18">
        <f>IF(B20&gt;0,(B20/'Expense Analysis'!B22)*100,0)%</f>
        <v>0</v>
      </c>
      <c r="F18" t="s">
        <v>363</v>
      </c>
    </row>
    <row r="19" spans="1:6">
      <c r="A19" t="s">
        <v>295</v>
      </c>
      <c r="B19">
        <f>'Expense Analysis'!B17*5</f>
        <v>0</v>
      </c>
      <c r="C19">
        <f>'Expense Analysis'!B30</f>
        <v>0</v>
      </c>
      <c r="D19">
        <f>B21*C21</f>
        <v>0</v>
      </c>
      <c r="E19">
        <f>IF(B21&gt;0,(B21/'Expense Analysis'!B22)*100,0)%</f>
        <v>0</v>
      </c>
      <c r="F19" t="s">
        <v>364</v>
      </c>
    </row>
    <row r="20" spans="1:6">
      <c r="A20" t="s">
        <v>296</v>
      </c>
      <c r="B20">
        <f>'Expense Analysis'!B17*6</f>
        <v>0</v>
      </c>
      <c r="C20">
        <f>'Expense Analysis'!B30</f>
        <v>0</v>
      </c>
      <c r="D20">
        <f>B22*C22</f>
        <v>0</v>
      </c>
      <c r="E20">
        <f>IF(B22&gt;0,(B22/'Expense Analysis'!B22)*100,0)%</f>
        <v>0</v>
      </c>
      <c r="F20" t="s">
        <v>365</v>
      </c>
    </row>
    <row r="21" spans="1:6">
      <c r="A21" t="s">
        <v>297</v>
      </c>
      <c r="B21">
        <f>'Expense Analysis'!B17*7</f>
        <v>0</v>
      </c>
      <c r="C21">
        <f>'Expense Analysis'!B30</f>
        <v>0</v>
      </c>
      <c r="D21">
        <f>B23*C23</f>
        <v>0</v>
      </c>
      <c r="E21">
        <f>IF(B23&gt;0,(B23/'Expense Analysis'!B22)*100,0)%</f>
        <v>0</v>
      </c>
      <c r="F21" t="s">
        <v>366</v>
      </c>
    </row>
    <row r="22" spans="1:6">
      <c r="A22" t="s">
        <v>298</v>
      </c>
      <c r="B22">
        <f>'Expense Analysis'!B17*8</f>
        <v>0</v>
      </c>
      <c r="C22">
        <f>'Expense Analysis'!B30</f>
        <v>0</v>
      </c>
      <c r="D22">
        <f>B24*C24</f>
        <v>0</v>
      </c>
      <c r="E22">
        <f>IF(B24&gt;0,(B24/'Expense Analysis'!B22)*100,0)%</f>
        <v>0</v>
      </c>
      <c r="F22" t="s">
        <v>367</v>
      </c>
    </row>
    <row r="23" spans="1:6">
      <c r="A23" t="s">
        <v>299</v>
      </c>
      <c r="B23">
        <f>'Expense Analysis'!B17*9</f>
        <v>0</v>
      </c>
      <c r="C23">
        <f>'Expense Analysis'!B30</f>
        <v>0</v>
      </c>
      <c r="D23">
        <f>B25*C25</f>
        <v>0</v>
      </c>
      <c r="E23">
        <f>IF(B25&gt;0,(B25/'Expense Analysis'!B22)*100,0)%</f>
        <v>0</v>
      </c>
      <c r="F23" t="s">
        <v>368</v>
      </c>
    </row>
    <row r="24" spans="1:6">
      <c r="A24" t="s">
        <v>300</v>
      </c>
      <c r="B24">
        <f>'Expense Analysis'!B17*10</f>
        <v>0</v>
      </c>
      <c r="C24">
        <f>'Expense Analysis'!B30</f>
        <v>0</v>
      </c>
      <c r="D24">
        <f>B26*C26</f>
        <v>0</v>
      </c>
      <c r="E24">
        <f>IF(B26&gt;0,(B26/'Expense Analysis'!B22)*100,0)%</f>
        <v>0</v>
      </c>
      <c r="F24" t="s">
        <v>369</v>
      </c>
    </row>
    <row r="25" spans="1:6">
      <c r="A25" t="s">
        <v>301</v>
      </c>
      <c r="B25">
        <f>'Expense Analysis'!B17*11</f>
        <v>0</v>
      </c>
      <c r="C25">
        <f>'Expense Analysis'!B30</f>
        <v>0</v>
      </c>
      <c r="D25">
        <f>B27*C27</f>
        <v>0</v>
      </c>
      <c r="E25">
        <f>IF(B27&gt;0,(B27/'Expense Analysis'!B22)*100,0)%</f>
        <v>0</v>
      </c>
      <c r="F25" t="s">
        <v>370</v>
      </c>
    </row>
    <row r="26" spans="1:6">
      <c r="A26" t="s">
        <v>302</v>
      </c>
      <c r="B26">
        <f>'Expense Analysis'!B17*12</f>
        <v>0</v>
      </c>
      <c r="C26">
        <f>'Expense Analysis'!B30</f>
        <v>0</v>
      </c>
      <c r="D26">
        <f>B28*C28</f>
        <v>0</v>
      </c>
      <c r="E26">
        <f>IF(B28&gt;0,(B28/'Expense Analysis'!B22)*100,0)%</f>
        <v>0</v>
      </c>
      <c r="F26">
        <f>IF(B28&gt;='Expense Analysis'!B22,"✓ GOAL MET","Close")</f>
        <v>0</v>
      </c>
    </row>
    <row r="27" spans="1:6">
      <c r="A27" t="s">
        <v>303</v>
      </c>
      <c r="B27">
        <f>'Expense Analysis'!B17*12</f>
        <v>0</v>
      </c>
      <c r="C27">
        <f>SUM(C18:C29)</f>
        <v>0</v>
      </c>
      <c r="D27">
        <f>B29*C18</f>
        <v>0</v>
      </c>
      <c r="E27">
        <f>IF(B29&gt;0,(B29/'Expense Analysis'!B22)*100,0)%</f>
        <v>0</v>
      </c>
      <c r="F27" t="s">
        <v>371</v>
      </c>
    </row>
    <row r="29" spans="1:6">
      <c r="A29" t="s">
        <v>304</v>
      </c>
    </row>
    <row r="30" spans="1:6">
      <c r="A30" t="s">
        <v>305</v>
      </c>
      <c r="B30" t="s">
        <v>321</v>
      </c>
      <c r="C30" t="s">
        <v>320</v>
      </c>
      <c r="D30" t="s">
        <v>335</v>
      </c>
      <c r="E30" t="s">
        <v>349</v>
      </c>
      <c r="F30" t="s">
        <v>94</v>
      </c>
    </row>
    <row r="31" spans="1:6">
      <c r="A31" t="s">
        <v>306</v>
      </c>
      <c r="B31">
        <f>TODAY()+120</f>
        <v>0</v>
      </c>
      <c r="C31">
        <f>'Expense Analysis'!B17</f>
        <v>0</v>
      </c>
      <c r="D31" t="s">
        <v>336</v>
      </c>
      <c r="E31">
        <f>DAYS(C33,'Expense Analysis'!B17)</f>
        <v>0</v>
      </c>
      <c r="F31" t="s">
        <v>130</v>
      </c>
    </row>
    <row r="32" spans="1:6">
      <c r="A32" t="s">
        <v>307</v>
      </c>
      <c r="B32">
        <f>TODAY()+240</f>
        <v>0</v>
      </c>
      <c r="C32">
        <f>'Expense Analysis'!B14</f>
        <v>0</v>
      </c>
      <c r="D32" t="s">
        <v>336</v>
      </c>
      <c r="E32">
        <f>DAYS(C34,'Expense Analysis'!B14)</f>
        <v>0</v>
      </c>
      <c r="F32" t="s">
        <v>372</v>
      </c>
    </row>
    <row r="33" spans="1:6">
      <c r="A33" t="s">
        <v>308</v>
      </c>
      <c r="B33">
        <f>TODAY()+365</f>
        <v>0</v>
      </c>
      <c r="C33">
        <f>'Expense Analysis'!B16</f>
        <v>0</v>
      </c>
      <c r="D33" t="s">
        <v>337</v>
      </c>
      <c r="E33">
        <f>DAYS(C35,'Expense Analysis'!B16)</f>
        <v>0</v>
      </c>
      <c r="F33" t="s">
        <v>373</v>
      </c>
    </row>
    <row r="34" spans="1:6">
      <c r="A34" t="s">
        <v>309</v>
      </c>
      <c r="B34">
        <f>TODAY()+545</f>
        <v>0</v>
      </c>
      <c r="C34">
        <f>'Expense Analysis'!B12*9</f>
        <v>0</v>
      </c>
      <c r="D34" t="s">
        <v>338</v>
      </c>
      <c r="E34">
        <f>DAYS(C36,0)</f>
        <v>0</v>
      </c>
      <c r="F34" t="s">
        <v>374</v>
      </c>
    </row>
    <row r="35" spans="1:6">
      <c r="A35" t="s">
        <v>310</v>
      </c>
      <c r="B35">
        <f>TODAY()+730</f>
        <v>0</v>
      </c>
      <c r="C35">
        <f>'Expense Analysis'!B12*12</f>
        <v>0</v>
      </c>
      <c r="D35" t="s">
        <v>192</v>
      </c>
      <c r="E35">
        <f>DAYS(C37,0)</f>
        <v>0</v>
      </c>
      <c r="F35" t="s">
        <v>375</v>
      </c>
    </row>
    <row r="37" spans="1:6">
      <c r="A37" t="s">
        <v>311</v>
      </c>
    </row>
    <row r="38" spans="1:6">
      <c r="A38" t="s">
        <v>312</v>
      </c>
      <c r="B38" t="s">
        <v>322</v>
      </c>
      <c r="C38" t="s">
        <v>332</v>
      </c>
      <c r="D38" t="s">
        <v>339</v>
      </c>
      <c r="E38" t="s">
        <v>350</v>
      </c>
      <c r="F38" t="s">
        <v>51</v>
      </c>
    </row>
    <row r="39" spans="1:6">
      <c r="A39" t="s">
        <v>313</v>
      </c>
      <c r="B39" t="s">
        <v>323</v>
      </c>
      <c r="C39">
        <f>CEILING('Expense Analysis'!B30*0.40)</f>
        <v>0</v>
      </c>
      <c r="D39" t="s">
        <v>340</v>
      </c>
      <c r="E39" t="s">
        <v>351</v>
      </c>
      <c r="F39" t="s">
        <v>376</v>
      </c>
    </row>
    <row r="40" spans="1:6">
      <c r="A40" t="s">
        <v>314</v>
      </c>
      <c r="B40" t="s">
        <v>324</v>
      </c>
      <c r="C40">
        <f>CEILING('Expense Analysis'!B30*0.40)</f>
        <v>0</v>
      </c>
      <c r="D40" t="s">
        <v>340</v>
      </c>
      <c r="E40" t="s">
        <v>352</v>
      </c>
      <c r="F40" t="s">
        <v>376</v>
      </c>
    </row>
    <row r="41" spans="1:6">
      <c r="A41" t="s">
        <v>231</v>
      </c>
      <c r="B41" t="s">
        <v>325</v>
      </c>
      <c r="C41">
        <f>CEILING('Expense Analysis'!B30*0.15)</f>
        <v>0</v>
      </c>
      <c r="D41" t="s">
        <v>341</v>
      </c>
      <c r="E41" t="s">
        <v>353</v>
      </c>
      <c r="F41" t="s">
        <v>377</v>
      </c>
    </row>
    <row r="42" spans="1:6">
      <c r="A42" t="s">
        <v>28</v>
      </c>
      <c r="B42" t="s">
        <v>326</v>
      </c>
      <c r="C42">
        <f>CEILING('Expense Analysis'!B30*0.05)</f>
        <v>0</v>
      </c>
      <c r="D42" t="s">
        <v>342</v>
      </c>
      <c r="E42" t="s">
        <v>352</v>
      </c>
      <c r="F42" t="s">
        <v>377</v>
      </c>
    </row>
    <row r="43" spans="1:6">
      <c r="A43" t="s">
        <v>315</v>
      </c>
      <c r="B43" t="s">
        <v>327</v>
      </c>
      <c r="C43">
        <f>SUM(C41:C44)</f>
        <v>0</v>
      </c>
      <c r="D43" t="s">
        <v>343</v>
      </c>
      <c r="E43" t="s">
        <v>354</v>
      </c>
      <c r="F43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4" width="50.7109375" customWidth="1"/>
    <col min="5" max="5" width="25.7109375" customWidth="1"/>
    <col min="6" max="7" width="50.7109375" customWidth="1"/>
  </cols>
  <sheetData>
    <row r="1" spans="1:7">
      <c r="A1" t="s">
        <v>428</v>
      </c>
    </row>
    <row r="3" spans="1:7">
      <c r="A3" t="s">
        <v>380</v>
      </c>
    </row>
    <row r="5" spans="1:7">
      <c r="A5" t="s">
        <v>381</v>
      </c>
    </row>
    <row r="6" spans="1:7">
      <c r="A6" t="s">
        <v>290</v>
      </c>
      <c r="B6" t="s">
        <v>400</v>
      </c>
      <c r="C6" t="s">
        <v>407</v>
      </c>
      <c r="D6" t="s">
        <v>410</v>
      </c>
      <c r="E6" t="s">
        <v>412</v>
      </c>
      <c r="F6" t="s">
        <v>419</v>
      </c>
      <c r="G6" t="s">
        <v>427</v>
      </c>
    </row>
    <row r="7" spans="1:7">
      <c r="A7" t="s">
        <v>382</v>
      </c>
      <c r="B7" t="s">
        <v>405</v>
      </c>
      <c r="C7">
        <f>'Expense Analysis'!B30</f>
        <v>0</v>
      </c>
      <c r="D7" t="s">
        <v>405</v>
      </c>
      <c r="E7">
        <f>'Expense Analysis'!B30</f>
        <v>0</v>
      </c>
      <c r="F7">
        <f>SUM('Savings Timeline'!C18:C29)/12</f>
        <v>0</v>
      </c>
      <c r="G7">
        <f>IF(D8&gt;E8,"Ahead","On track")</f>
        <v>0</v>
      </c>
    </row>
    <row r="8" spans="1:7">
      <c r="A8" t="s">
        <v>383</v>
      </c>
      <c r="B8">
        <f>D8</f>
        <v>0</v>
      </c>
      <c r="C8">
        <f>'Expense Analysis'!B30</f>
        <v>0</v>
      </c>
      <c r="D8">
        <f>D8*AVERAGE('Fund Analysis'!D7:D11)/12/100</f>
        <v>0</v>
      </c>
      <c r="E8">
        <f>D8+B9+C9</f>
        <v>0</v>
      </c>
      <c r="F8">
        <f>SUM('Savings Timeline'!C18:C29)/12*2</f>
        <v>0</v>
      </c>
      <c r="G8">
        <f>IF(D9&gt;E9,"Ahead","On track")</f>
        <v>0</v>
      </c>
    </row>
    <row r="9" spans="1:7">
      <c r="A9" t="s">
        <v>384</v>
      </c>
      <c r="B9">
        <f>D9</f>
        <v>0</v>
      </c>
      <c r="C9">
        <f>'Expense Analysis'!B30</f>
        <v>0</v>
      </c>
      <c r="D9">
        <f>D9*AVERAGE('Fund Analysis'!D7:D11)/12/100</f>
        <v>0</v>
      </c>
      <c r="E9">
        <f>D9+B10+C10</f>
        <v>0</v>
      </c>
      <c r="F9">
        <f>SUM('Savings Timeline'!C18:C29)/12*3</f>
        <v>0</v>
      </c>
      <c r="G9">
        <f>IF(D10&gt;E10,"Ahead","On track")</f>
        <v>0</v>
      </c>
    </row>
    <row r="10" spans="1:7">
      <c r="A10" t="s">
        <v>385</v>
      </c>
      <c r="B10">
        <f>D10</f>
        <v>0</v>
      </c>
      <c r="C10">
        <f>'Expense Analysis'!B30</f>
        <v>0</v>
      </c>
      <c r="D10">
        <f>D10*AVERAGE('Fund Analysis'!D7:D11)/12/100</f>
        <v>0</v>
      </c>
      <c r="E10">
        <f>D10+B11+C11</f>
        <v>0</v>
      </c>
      <c r="F10">
        <f>SUM('Savings Timeline'!C18:C29)/12*4</f>
        <v>0</v>
      </c>
      <c r="G10">
        <f>IF(D11&gt;E11,"Ahead","On track")</f>
        <v>0</v>
      </c>
    </row>
    <row r="11" spans="1:7">
      <c r="A11" t="s">
        <v>295</v>
      </c>
      <c r="B11">
        <f>D11</f>
        <v>0</v>
      </c>
      <c r="C11">
        <f>'Expense Analysis'!B30</f>
        <v>0</v>
      </c>
      <c r="D11">
        <f>D11*AVERAGE('Fund Analysis'!D7:D11)/12/100</f>
        <v>0</v>
      </c>
      <c r="E11">
        <f>D11+B12+C12</f>
        <v>0</v>
      </c>
      <c r="F11">
        <f>SUM('Savings Timeline'!C18:C29)/12*5</f>
        <v>0</v>
      </c>
      <c r="G11">
        <f>IF(D12&gt;E12,"Ahead","On track")</f>
        <v>0</v>
      </c>
    </row>
    <row r="12" spans="1:7">
      <c r="A12" t="s">
        <v>386</v>
      </c>
      <c r="B12">
        <f>D12</f>
        <v>0</v>
      </c>
      <c r="C12">
        <f>'Expense Analysis'!B30</f>
        <v>0</v>
      </c>
      <c r="D12">
        <f>D12*AVERAGE('Fund Analysis'!D7:D11)/12/100</f>
        <v>0</v>
      </c>
      <c r="E12">
        <f>D12+B13+C13</f>
        <v>0</v>
      </c>
      <c r="F12">
        <f>SUM('Savings Timeline'!C18:C29)/12*6</f>
        <v>0</v>
      </c>
      <c r="G12">
        <f>IF(D13&gt;E13,"Ahead","On track")</f>
        <v>0</v>
      </c>
    </row>
    <row r="13" spans="1:7">
      <c r="A13" t="s">
        <v>387</v>
      </c>
      <c r="B13">
        <f>D13</f>
        <v>0</v>
      </c>
      <c r="C13">
        <f>'Expense Analysis'!B30</f>
        <v>0</v>
      </c>
      <c r="D13">
        <f>D13*AVERAGE('Fund Analysis'!D7:D11)/12/100</f>
        <v>0</v>
      </c>
      <c r="E13">
        <f>D13+B14+C14</f>
        <v>0</v>
      </c>
      <c r="F13">
        <f>SUM('Savings Timeline'!C18:C29)/12*7</f>
        <v>0</v>
      </c>
      <c r="G13">
        <f>IF(D14&gt;E14,"Ahead","On track")</f>
        <v>0</v>
      </c>
    </row>
    <row r="14" spans="1:7">
      <c r="A14" t="s">
        <v>388</v>
      </c>
      <c r="B14">
        <f>D14</f>
        <v>0</v>
      </c>
      <c r="C14">
        <f>'Expense Analysis'!B30</f>
        <v>0</v>
      </c>
      <c r="D14">
        <f>D14*AVERAGE('Fund Analysis'!D7:D11)/12/100</f>
        <v>0</v>
      </c>
      <c r="E14">
        <f>D14+B15+C15</f>
        <v>0</v>
      </c>
      <c r="F14">
        <f>SUM('Savings Timeline'!C18:C29)/12*8</f>
        <v>0</v>
      </c>
      <c r="G14">
        <f>IF(D15&gt;E15,"Ahead","On track")</f>
        <v>0</v>
      </c>
    </row>
    <row r="15" spans="1:7">
      <c r="A15" t="s">
        <v>389</v>
      </c>
      <c r="B15">
        <f>D15</f>
        <v>0</v>
      </c>
      <c r="C15">
        <f>'Expense Analysis'!B30</f>
        <v>0</v>
      </c>
      <c r="D15">
        <f>D15*AVERAGE('Fund Analysis'!D7:D11)/12/100</f>
        <v>0</v>
      </c>
      <c r="E15">
        <f>D15+B16+C16</f>
        <v>0</v>
      </c>
      <c r="F15">
        <f>SUM('Savings Timeline'!C18:C29)/12*9</f>
        <v>0</v>
      </c>
      <c r="G15">
        <f>IF(D16&gt;E16,"Ahead","On track")</f>
        <v>0</v>
      </c>
    </row>
    <row r="16" spans="1:7">
      <c r="A16" t="s">
        <v>390</v>
      </c>
      <c r="B16">
        <f>D16</f>
        <v>0</v>
      </c>
      <c r="C16">
        <f>'Expense Analysis'!B30</f>
        <v>0</v>
      </c>
      <c r="D16">
        <f>D16*AVERAGE('Fund Analysis'!D7:D11)/12/100</f>
        <v>0</v>
      </c>
      <c r="E16">
        <f>D16+B17+C17</f>
        <v>0</v>
      </c>
      <c r="F16">
        <f>SUM('Savings Timeline'!C18:C29)/12*10</f>
        <v>0</v>
      </c>
      <c r="G16">
        <f>IF(D17&gt;E17,"Ahead","On track")</f>
        <v>0</v>
      </c>
    </row>
    <row r="17" spans="1:7">
      <c r="A17" t="s">
        <v>391</v>
      </c>
      <c r="B17">
        <f>D17</f>
        <v>0</v>
      </c>
      <c r="C17">
        <f>'Expense Analysis'!B30</f>
        <v>0</v>
      </c>
      <c r="D17">
        <f>D17*AVERAGE('Fund Analysis'!D7:D11)/12/100</f>
        <v>0</v>
      </c>
      <c r="E17">
        <f>D17+B18+C18</f>
        <v>0</v>
      </c>
      <c r="F17">
        <f>SUM('Savings Timeline'!C18:C29)/12*11</f>
        <v>0</v>
      </c>
      <c r="G17">
        <f>IF(D18&gt;E18,"Ahead","On track")</f>
        <v>0</v>
      </c>
    </row>
    <row r="18" spans="1:7">
      <c r="A18" t="s">
        <v>392</v>
      </c>
      <c r="B18">
        <f>D18</f>
        <v>0</v>
      </c>
      <c r="C18">
        <f>'Expense Analysis'!B30</f>
        <v>0</v>
      </c>
      <c r="D18">
        <f>D18*AVERAGE('Fund Analysis'!D7:D11)/12/100</f>
        <v>0</v>
      </c>
      <c r="E18">
        <f>D18+B19+C19</f>
        <v>0</v>
      </c>
      <c r="F18">
        <f>SUM('Savings Timeline'!C18:C29)/12*12</f>
        <v>0</v>
      </c>
      <c r="G18">
        <f>IF(D19&gt;E19,"Ahead","On track")</f>
        <v>0</v>
      </c>
    </row>
    <row r="19" spans="1:7">
      <c r="A19" t="s">
        <v>303</v>
      </c>
      <c r="B19" t="s">
        <v>405</v>
      </c>
      <c r="C19">
        <f>SUM(B8:B19)</f>
        <v>0</v>
      </c>
      <c r="D19">
        <f>SUM(C8:C19)</f>
        <v>0</v>
      </c>
      <c r="E19">
        <f>D19</f>
        <v>0</v>
      </c>
      <c r="F19">
        <f>'Expense Analysis'!B16</f>
        <v>0</v>
      </c>
      <c r="G19">
        <f>IF(D20&gt;E20,"✓ Goal Met","In Progress")</f>
        <v>0</v>
      </c>
    </row>
    <row r="21" spans="1:7">
      <c r="A21" t="s">
        <v>393</v>
      </c>
    </row>
    <row r="22" spans="1:7">
      <c r="A22" t="s">
        <v>394</v>
      </c>
      <c r="B22" t="s">
        <v>400</v>
      </c>
      <c r="C22" t="s">
        <v>408</v>
      </c>
      <c r="D22" t="s">
        <v>410</v>
      </c>
      <c r="E22" t="s">
        <v>413</v>
      </c>
      <c r="F22" t="s">
        <v>420</v>
      </c>
      <c r="G22" t="s">
        <v>51</v>
      </c>
    </row>
    <row r="23" spans="1:7">
      <c r="A23" t="s">
        <v>395</v>
      </c>
      <c r="B23" t="s">
        <v>405</v>
      </c>
      <c r="C23">
        <f>SUM('Savings Timeline'!C18:C20)</f>
        <v>0</v>
      </c>
      <c r="D23">
        <f>SUM('Growth Tracker'!C8:C10)</f>
        <v>0</v>
      </c>
      <c r="E23">
        <f>D23+B23+C23</f>
        <v>0</v>
      </c>
      <c r="F23">
        <f>IF(D23&gt;0,(D23/('Expense Analysis'!B30*3))*100,0)%</f>
        <v>0</v>
      </c>
      <c r="G23" t="s">
        <v>360</v>
      </c>
    </row>
    <row r="24" spans="1:7">
      <c r="A24" t="s">
        <v>396</v>
      </c>
      <c r="B24">
        <f>D23</f>
        <v>0</v>
      </c>
      <c r="C24">
        <f>SUM('Savings Timeline'!C21:C23)</f>
        <v>0</v>
      </c>
      <c r="D24">
        <f>SUM('Growth Tracker'!C11:C13)</f>
        <v>0</v>
      </c>
      <c r="E24">
        <f>B24+B24+C24</f>
        <v>0</v>
      </c>
      <c r="F24">
        <f>IF(D24&gt;0,(D24/D23-1)*100,0)%</f>
        <v>0</v>
      </c>
      <c r="G24" t="s">
        <v>364</v>
      </c>
    </row>
    <row r="25" spans="1:7">
      <c r="A25" t="s">
        <v>397</v>
      </c>
      <c r="B25">
        <f>D24</f>
        <v>0</v>
      </c>
      <c r="C25">
        <f>SUM('Savings Timeline'!C24:C26)</f>
        <v>0</v>
      </c>
      <c r="D25">
        <f>SUM('Growth Tracker'!C14:C16)</f>
        <v>0</v>
      </c>
      <c r="E25">
        <f>B25+B25+C25</f>
        <v>0</v>
      </c>
      <c r="F25">
        <f>IF(D25&gt;0,(D25/D24-1)*100,0)%</f>
        <v>0</v>
      </c>
      <c r="G25" t="s">
        <v>363</v>
      </c>
    </row>
    <row r="26" spans="1:7">
      <c r="A26" t="s">
        <v>398</v>
      </c>
      <c r="B26">
        <f>D25</f>
        <v>0</v>
      </c>
      <c r="C26">
        <f>SUM('Savings Timeline'!C27:C29)</f>
        <v>0</v>
      </c>
      <c r="D26">
        <f>SUM('Growth Tracker'!C17:C19)</f>
        <v>0</v>
      </c>
      <c r="E26">
        <f>B26+B26+C26</f>
        <v>0</v>
      </c>
      <c r="F26">
        <f>IF(D26&gt;0,(D26/D25-1)*100,0)%</f>
        <v>0</v>
      </c>
      <c r="G26">
        <f>IF(D26&gt;='Expense Analysis'!B16,"✓ Goal","Close")</f>
        <v>0</v>
      </c>
    </row>
    <row r="28" spans="1:7">
      <c r="A28" t="s">
        <v>399</v>
      </c>
    </row>
    <row r="29" spans="1:7">
      <c r="A29" t="s">
        <v>1</v>
      </c>
      <c r="B29" t="s">
        <v>406</v>
      </c>
      <c r="C29" t="s">
        <v>409</v>
      </c>
      <c r="D29" t="s">
        <v>411</v>
      </c>
      <c r="E29" t="s">
        <v>51</v>
      </c>
      <c r="F29" t="s">
        <v>205</v>
      </c>
    </row>
    <row r="30" spans="1:7">
      <c r="A30" t="s">
        <v>400</v>
      </c>
      <c r="B30" t="s">
        <v>405</v>
      </c>
      <c r="C30">
        <f>D20</f>
        <v>0</v>
      </c>
      <c r="D30">
        <f>D20+('Expense Analysis'!B30*12)</f>
        <v>0</v>
      </c>
      <c r="E30" t="s">
        <v>414</v>
      </c>
      <c r="F30" t="s">
        <v>421</v>
      </c>
    </row>
    <row r="31" spans="1:7">
      <c r="A31" t="s">
        <v>401</v>
      </c>
      <c r="B31">
        <f>SUM('Savings Timeline'!C18:C29)</f>
        <v>0</v>
      </c>
      <c r="C31">
        <f>'Expense Analysis'!B30*12</f>
        <v>0</v>
      </c>
      <c r="D31">
        <f>'Expense Analysis'!B30*12</f>
        <v>0</v>
      </c>
      <c r="E31" t="s">
        <v>415</v>
      </c>
      <c r="F31" t="s">
        <v>422</v>
      </c>
    </row>
    <row r="32" spans="1:7">
      <c r="A32" t="s">
        <v>402</v>
      </c>
      <c r="B32">
        <f>SUM('Growth Tracker'!C8:C19)</f>
        <v>0</v>
      </c>
      <c r="C32">
        <f>(D20+B31)*AVERAGE('Fund Analysis'!D7:D11)/100</f>
        <v>0</v>
      </c>
      <c r="D32">
        <f>(D20+B31+B32)*AVERAGE('Fund Analysis'!D7:D11)/100</f>
        <v>0</v>
      </c>
      <c r="E32" t="s">
        <v>416</v>
      </c>
      <c r="F32" t="s">
        <v>423</v>
      </c>
    </row>
    <row r="33" spans="1:6">
      <c r="A33" t="s">
        <v>403</v>
      </c>
      <c r="B33">
        <f>D20</f>
        <v>0</v>
      </c>
      <c r="C33">
        <f>B30+B31+B32</f>
        <v>0</v>
      </c>
      <c r="D33">
        <f>B31+B32+B33</f>
        <v>0</v>
      </c>
      <c r="E33" t="s">
        <v>417</v>
      </c>
      <c r="F33" t="s">
        <v>424</v>
      </c>
    </row>
    <row r="34" spans="1:6">
      <c r="A34" t="s">
        <v>404</v>
      </c>
      <c r="B34">
        <f>(D20/'Expense Analysis'!B16)*100%</f>
        <v>0</v>
      </c>
      <c r="C34">
        <f>(B31/'Expense Analysis'!B16)*100%</f>
        <v>0</v>
      </c>
      <c r="D34">
        <f>(B32/'Expense Analysis'!B16)*100%</f>
        <v>0</v>
      </c>
      <c r="E34" t="s">
        <v>73</v>
      </c>
      <c r="F34" t="s">
        <v>425</v>
      </c>
    </row>
    <row r="35" spans="1:6">
      <c r="A35" t="s">
        <v>51</v>
      </c>
      <c r="B35">
        <f>IF(D20&gt;='Expense Analysis'!B16,"✓ Achieved","Building")</f>
        <v>0</v>
      </c>
      <c r="C35">
        <f>IF(B31&gt;='Expense Analysis'!B16,"✓ Achieved","✓ Achieved")</f>
        <v>0</v>
      </c>
      <c r="D35">
        <f>IF(B32&gt;='Expense Analysis'!B16*1.5,"✓ Enhanced","✓ Achieved")</f>
        <v>0</v>
      </c>
      <c r="E35" t="s">
        <v>418</v>
      </c>
      <c r="F35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Expense Analysis</vt:lpstr>
      <vt:lpstr>Fund Analysis</vt:lpstr>
      <vt:lpstr>Savings Timeline</vt:lpstr>
      <vt:lpstr>Growth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2026-01-02T16:02:22Z</dcterms:created>
  <dcterms:modified xsi:type="dcterms:W3CDTF">2026-01-02T16:02:22Z</dcterms:modified>
</cp:coreProperties>
</file>