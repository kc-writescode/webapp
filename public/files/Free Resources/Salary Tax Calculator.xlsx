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ick Calculator" sheetId="1" r:id="rId1"/>
    <sheet name="Tax Slabs 2025-26" sheetId="2" r:id="rId2"/>
    <sheet name="HRA Calculation" sheetId="3" r:id="rId3"/>
    <sheet name="Regime Comparison" sheetId="4" r:id="rId4"/>
    <sheet name="Deductions Guide" sheetId="5" r:id="rId5"/>
  </sheets>
  <calcPr calcId="124519" fullCalcOnLoad="1"/>
</workbook>
</file>

<file path=xl/sharedStrings.xml><?xml version="1.0" encoding="utf-8"?>
<sst xmlns="http://schemas.openxmlformats.org/spreadsheetml/2006/main" count="962" uniqueCount="632">
  <si>
    <t>QUICK CTC TO IN-HAND CALCULATION</t>
  </si>
  <si>
    <t>Step 1: Enter Your Annual CTC</t>
  </si>
  <si>
    <t>Annual CTC (Cost to Company)</t>
  </si>
  <si>
    <t>Step 2: Income Breakdown</t>
  </si>
  <si>
    <t>Basic Salary</t>
  </si>
  <si>
    <t>House Rent Allowance (HRA)</t>
  </si>
  <si>
    <t>Dearness Allowance (DA)</t>
  </si>
  <si>
    <t>Other Allowances</t>
  </si>
  <si>
    <t>Annual Gross Salary</t>
  </si>
  <si>
    <t>Step 3: Deductions</t>
  </si>
  <si>
    <t>Standard Deduction (New Regime)</t>
  </si>
  <si>
    <t>Standard Deduction (Old Regime)</t>
  </si>
  <si>
    <t>Investments (Section 80C)</t>
  </si>
  <si>
    <t>HRA Exemption Claim</t>
  </si>
  <si>
    <t>Medical Insurance (80D)</t>
  </si>
  <si>
    <t>Education Loan Interest (80E)</t>
  </si>
  <si>
    <t>Donations/Charity (80G)</t>
  </si>
  <si>
    <t>Home Loan Interest (24(b))</t>
  </si>
  <si>
    <t>Step 4: HRA Exemption Calculation (Old Regime)</t>
  </si>
  <si>
    <t>Annual HRA Received</t>
  </si>
  <si>
    <t>Rent Paid (Annual)</t>
  </si>
  <si>
    <t>50% of Basic Salary</t>
  </si>
  <si>
    <t>HRA Exemption (Minimum of above)</t>
  </si>
  <si>
    <t>TAXABLE INCOME CALCULATION - OLD REGIME</t>
  </si>
  <si>
    <t>Gross Salary</t>
  </si>
  <si>
    <t>Less: HRA Exemption</t>
  </si>
  <si>
    <t>Net Income</t>
  </si>
  <si>
    <t>Less: Standard Deduction</t>
  </si>
  <si>
    <t>Less: 80C Investments</t>
  </si>
  <si>
    <t>Less: Medical Insurance (80D)</t>
  </si>
  <si>
    <t>Less: Education Loan Interest (80E)</t>
  </si>
  <si>
    <t>Less: Donations (80G)</t>
  </si>
  <si>
    <t>Less: Home Loan Interest (24b)</t>
  </si>
  <si>
    <t>TAXABLE INCOME (OLD REGIME)</t>
  </si>
  <si>
    <t>INCOME TAX CALCULATION - OLD REGIME</t>
  </si>
  <si>
    <t>Taxable Income</t>
  </si>
  <si>
    <t>Income Tax (As per FY 2025-26 slabs)</t>
  </si>
  <si>
    <t>Health &amp; Education Cess (4%)</t>
  </si>
  <si>
    <t>TOTAL TAX (OLD REGIME)</t>
  </si>
  <si>
    <t>TAXABLE INCOME CALCULATION - NEW REGIME</t>
  </si>
  <si>
    <t>Less: Standard Deduction (New Regime)</t>
  </si>
  <si>
    <t>TAXABLE INCOME (NEW REGIME)</t>
  </si>
  <si>
    <t>INCOME TAX CALCULATION - NEW REGIME</t>
  </si>
  <si>
    <t>Income Tax (As per FY 2025-26 new slabs)</t>
  </si>
  <si>
    <t>TOTAL TAX (NEW REGIME)</t>
  </si>
  <si>
    <t>COMPARISON &amp; FINAL SALARY</t>
  </si>
  <si>
    <t>Total Tax Payable</t>
  </si>
  <si>
    <t>Tax Savings (if Old is lower)</t>
  </si>
  <si>
    <t>MONTHLY IN-HAND SALARY</t>
  </si>
  <si>
    <t>Annual CTC</t>
  </si>
  <si>
    <t>Annual Tax (Old Regime)</t>
  </si>
  <si>
    <t>Annual Tax (New Regime)</t>
  </si>
  <si>
    <t>Annual In-Hand (Old Regime)</t>
  </si>
  <si>
    <t>Annual In-Hand (New Regime)</t>
  </si>
  <si>
    <t>Monthly Gross Salary</t>
  </si>
  <si>
    <t>Monthly In-Hand (Old Regime)</t>
  </si>
  <si>
    <t>Monthly In-Hand (New Regime)</t>
  </si>
  <si>
    <t>Monthly Tax Difference</t>
  </si>
  <si>
    <t>₹</t>
  </si>
  <si>
    <t>OLD REGIME</t>
  </si>
  <si>
    <t>0</t>
  </si>
  <si>
    <t>50000</t>
  </si>
  <si>
    <t>NEW REGIME</t>
  </si>
  <si>
    <t>Enter your total package</t>
  </si>
  <si>
    <t>Usually 40-50% of CTC</t>
  </si>
  <si>
    <t>Usually 10-20% of CTC</t>
  </si>
  <si>
    <t>Usually 10-15% of CTC</t>
  </si>
  <si>
    <t>Medical, travel, etc.</t>
  </si>
  <si>
    <t>Sum of all allowances</t>
  </si>
  <si>
    <t>FY2025-26 amount</t>
  </si>
  <si>
    <t>LIC, PPF, ELSS, etc. (Max: ₹1,50,000)</t>
  </si>
  <si>
    <t>Will be calculated below</t>
  </si>
  <si>
    <t>Max: ₹25,000 (≤60yrs)</t>
  </si>
  <si>
    <t>No limit</t>
  </si>
  <si>
    <t>Qualifying donations</t>
  </si>
  <si>
    <t>Max: ₹2,00,000</t>
  </si>
  <si>
    <t>From Step 2</t>
  </si>
  <si>
    <t>Enter actual rent paid per year</t>
  </si>
  <si>
    <t>Calculated</t>
  </si>
  <si>
    <t>Tax benefit = Exemption × Slab Rate</t>
  </si>
  <si>
    <t>Before tax calculation</t>
  </si>
  <si>
    <t>Old Regime Slabs</t>
  </si>
  <si>
    <t>On Income Tax</t>
  </si>
  <si>
    <t>No section 80 benefits in New Regime</t>
  </si>
  <si>
    <t>New Regime Slabs</t>
  </si>
  <si>
    <t>DIFFERENCE</t>
  </si>
  <si>
    <t>Your monthly pay structure</t>
  </si>
  <si>
    <t>After tax &amp; deductions</t>
  </si>
  <si>
    <t>Which regime saves more?</t>
  </si>
  <si>
    <t>SALARY &amp; TAX CALCULATOR - FY 2025-26</t>
  </si>
  <si>
    <t>OLD REGIME - TAX SLABS</t>
  </si>
  <si>
    <t>Income Range</t>
  </si>
  <si>
    <t>Up to ₹2,50,000</t>
  </si>
  <si>
    <t>₹2,50,001 - ₹5,00,000</t>
  </si>
  <si>
    <t>₹5,00,001 - ₹10,00,000</t>
  </si>
  <si>
    <t>Above ₹10,00,000</t>
  </si>
  <si>
    <t>Senior Citizens (60-80 years)</t>
  </si>
  <si>
    <t>Up to ₹3,00,000</t>
  </si>
  <si>
    <t>₹3,00,001 - ₹5,00,000</t>
  </si>
  <si>
    <t>Above ₹5,00,000</t>
  </si>
  <si>
    <t>Super Senior Citizens (Above 80 years)</t>
  </si>
  <si>
    <t>Up to ₹5,00,000</t>
  </si>
  <si>
    <t>NEW REGIME - TAX SLABS (Simplified, No Deductions)</t>
  </si>
  <si>
    <t>₹3,00,001 - ₹6,00,000</t>
  </si>
  <si>
    <t>₹6,00,001 - ₹9,00,000</t>
  </si>
  <si>
    <t>₹9,00,001 - ₹12,00,000</t>
  </si>
  <si>
    <t>₹12,00,001 - ₹15,00,000</t>
  </si>
  <si>
    <t>₹15,00,001 - ₹18,00,000</t>
  </si>
  <si>
    <t>Above ₹18,00,000</t>
  </si>
  <si>
    <t>DEDUCTIONS AVAILABLE - OLD REGIME ONLY</t>
  </si>
  <si>
    <t>Deduction Type</t>
  </si>
  <si>
    <t>Life Insurance/PPF/ELSS/FD</t>
  </si>
  <si>
    <t>Medical Insurance Premium</t>
  </si>
  <si>
    <t>Education Loan Interest</t>
  </si>
  <si>
    <t>Home Loan Interest</t>
  </si>
  <si>
    <t>Donations/Charity</t>
  </si>
  <si>
    <t>Parent Care/Support</t>
  </si>
  <si>
    <t>Disability Expenses</t>
  </si>
  <si>
    <t>STANDARD DEDUCTION</t>
  </si>
  <si>
    <t>Standard Deduction (2025-26)</t>
  </si>
  <si>
    <t>HEALTH &amp; EDUCATION CESS</t>
  </si>
  <si>
    <t>Cess Rate</t>
  </si>
  <si>
    <t>Applied on</t>
  </si>
  <si>
    <t>Example</t>
  </si>
  <si>
    <t>Tax Rate</t>
  </si>
  <si>
    <t>Nil (0%)</t>
  </si>
  <si>
    <t>5% on amount above ₹2,50,000</t>
  </si>
  <si>
    <t>20% on amount above ₹5,00,000</t>
  </si>
  <si>
    <t>30% on amount above ₹10,00,000</t>
  </si>
  <si>
    <t>5%</t>
  </si>
  <si>
    <t>20% onwards</t>
  </si>
  <si>
    <t>5% on amount above ₹3,00,000</t>
  </si>
  <si>
    <t>10% on amount above ₹6,00,000</t>
  </si>
  <si>
    <t>15% on amount above ₹9,00,000</t>
  </si>
  <si>
    <t>20% on amount above ₹12,00,000</t>
  </si>
  <si>
    <t>30% on amount above ₹15,00,000</t>
  </si>
  <si>
    <t>45% on amount above ₹18,00,000</t>
  </si>
  <si>
    <t>Section</t>
  </si>
  <si>
    <t>80C</t>
  </si>
  <si>
    <t>80D</t>
  </si>
  <si>
    <t>80E</t>
  </si>
  <si>
    <t>24(b)</t>
  </si>
  <si>
    <t>80G</t>
  </si>
  <si>
    <t>80CCC</t>
  </si>
  <si>
    <t>80U</t>
  </si>
  <si>
    <t>Old Regime</t>
  </si>
  <si>
    <t>₹50,000</t>
  </si>
  <si>
    <t>4%</t>
  </si>
  <si>
    <t>Total income tax (after all adjustments)</t>
  </si>
  <si>
    <t>If tax = ₹50,000, Cess = ₹2,000</t>
  </si>
  <si>
    <t>Cumulative Tax (at upper limit)</t>
  </si>
  <si>
    <t>₹0</t>
  </si>
  <si>
    <t>₹12,500</t>
  </si>
  <si>
    <t>₹1,12,500</t>
  </si>
  <si>
    <t>Varies</t>
  </si>
  <si>
    <t>₹10,000</t>
  </si>
  <si>
    <t>₹15,000</t>
  </si>
  <si>
    <t>₹45,000</t>
  </si>
  <si>
    <t>₹90,000</t>
  </si>
  <si>
    <t>₹1,50,000</t>
  </si>
  <si>
    <t>₹2,40,000</t>
  </si>
  <si>
    <t>Maximum Limit</t>
  </si>
  <si>
    <t>₹25,000 (≤60 yrs)</t>
  </si>
  <si>
    <t>₹50,000 (&gt;60 yrs)</t>
  </si>
  <si>
    <t>₹2,00,000</t>
  </si>
  <si>
    <t>Varies by org</t>
  </si>
  <si>
    <t>₹75,000-₹1,25,000</t>
  </si>
  <si>
    <t>New Regime</t>
  </si>
  <si>
    <t>Applicable to</t>
  </si>
  <si>
    <t>All age groups</t>
  </si>
  <si>
    <t>Individuals ≤60 years</t>
  </si>
  <si>
    <t>Senior citizens 60-80 yrs</t>
  </si>
  <si>
    <t>Super seniors &gt;80 yrs</t>
  </si>
  <si>
    <t>Key Feature</t>
  </si>
  <si>
    <t>Highest exemption</t>
  </si>
  <si>
    <t>Simpler slabs</t>
  </si>
  <si>
    <t>Transparent rates</t>
  </si>
  <si>
    <t>Middle slab</t>
  </si>
  <si>
    <t>High earners</t>
  </si>
  <si>
    <t>Higher earners</t>
  </si>
  <si>
    <t>Top earners</t>
  </si>
  <si>
    <t>Eligibility</t>
  </si>
  <si>
    <t>All individuals</t>
  </si>
  <si>
    <t>Senior citizens</t>
  </si>
  <si>
    <t>Those with edu loan</t>
  </si>
  <si>
    <t>Home owners</t>
  </si>
  <si>
    <t>Charitable giving</t>
  </si>
  <si>
    <t>Those supporting parents</t>
  </si>
  <si>
    <t>Persons with disability</t>
  </si>
  <si>
    <t>Salaried individuals</t>
  </si>
  <si>
    <t>On total income tax calculated</t>
  </si>
  <si>
    <t>Increases effective tax rate</t>
  </si>
  <si>
    <t>Total tax payable = ₹52,000</t>
  </si>
  <si>
    <t>Notes</t>
  </si>
  <si>
    <t>No tax if income below this</t>
  </si>
  <si>
    <t>5% slab</t>
  </si>
  <si>
    <t>20% slab</t>
  </si>
  <si>
    <t>30% slab</t>
  </si>
  <si>
    <t>Higher exemption</t>
  </si>
  <si>
    <t>Progressive slabs</t>
  </si>
  <si>
    <t>No tax benefit</t>
  </si>
  <si>
    <t>No section 80 benefits</t>
  </si>
  <si>
    <t>Only standard deduction</t>
  </si>
  <si>
    <t>Covers most earners</t>
  </si>
  <si>
    <t>Progressive taxation</t>
  </si>
  <si>
    <t>Steep increase</t>
  </si>
  <si>
    <t>Highest rate</t>
  </si>
  <si>
    <t>Tax Impact (% saved)</t>
  </si>
  <si>
    <t>15-30% of amount</t>
  </si>
  <si>
    <t>15-30% savings</t>
  </si>
  <si>
    <t>Fixed amount, automatic benefit</t>
  </si>
  <si>
    <t>Applied to both regimes</t>
  </si>
  <si>
    <t>Part of total tax payable</t>
  </si>
  <si>
    <t>Always included in calculation</t>
  </si>
  <si>
    <t>INCOME TAX SLABS &amp; RATES - FINANCIAL YEAR 2025-26</t>
  </si>
  <si>
    <t>UNDERSTANDING HRA EXEMPTION (OLD REGIME ONLY)</t>
  </si>
  <si>
    <t>What is HRA?</t>
  </si>
  <si>
    <t>Who gets it?</t>
  </si>
  <si>
    <t>Exemption available?</t>
  </si>
  <si>
    <t>New Regime?</t>
  </si>
  <si>
    <t>STEP-BY-STEP HRA EXEMPTION CALCULATION</t>
  </si>
  <si>
    <t>Your Details</t>
  </si>
  <si>
    <t>Basic Salary (Monthly)</t>
  </si>
  <si>
    <t>Basic Salary (Annual)</t>
  </si>
  <si>
    <t>HRA Received (Monthly)</t>
  </si>
  <si>
    <t>HRA Received (Annual)</t>
  </si>
  <si>
    <t>City Category</t>
  </si>
  <si>
    <t>Rent Paid (Monthly)</t>
  </si>
  <si>
    <t>HRA EXEMPTION FORMULA</t>
  </si>
  <si>
    <t>The exemption is LOWEST of THREE amounts:</t>
  </si>
  <si>
    <t>Amount 1: Actual HRA Received</t>
  </si>
  <si>
    <t>Amount 2: 50% of Basic (for Metro)</t>
  </si>
  <si>
    <t>Amount 2: 40% of Basic (Non-Metro)</t>
  </si>
  <si>
    <t>Amount 3: Rent - 10% of Basic</t>
  </si>
  <si>
    <t>HRA EXEMPTION (Choose based on city)</t>
  </si>
  <si>
    <t>FOR METRO CITIES (Delhi, Mumbai, Bangalore, Hyderabad, Chennai, Kolkata)</t>
  </si>
  <si>
    <t>HRA Exemption = MIN(Amount 1, Amount 2, Amount 3)</t>
  </si>
  <si>
    <t>FOR NON-METRO CITIES (Other Indian cities)</t>
  </si>
  <si>
    <t>HRA Exemption = MIN(Amount 1, Amount 2*, Amount 3)</t>
  </si>
  <si>
    <t>EXAMPLE CALCULATION 1: METRO CITY</t>
  </si>
  <si>
    <t>Amount 1: Actual HRA</t>
  </si>
  <si>
    <t>Amount 2: 50% of Basic</t>
  </si>
  <si>
    <t>Amount 3: Rent - 10% Basic</t>
  </si>
  <si>
    <t>HRA Exemption (Metro) = MIN of above</t>
  </si>
  <si>
    <t>EXAMPLE CALCULATION 2: NON-METRO CITY</t>
  </si>
  <si>
    <t>Amount 2: 40% of Basic</t>
  </si>
  <si>
    <t>HRA Exemption (Non-Metro) = MIN of above</t>
  </si>
  <si>
    <t>KEY POINTS ABOUT HRA EXEMPTION</t>
  </si>
  <si>
    <t>✓ Available in OLD REGIME ONLY</t>
  </si>
  <si>
    <t>✓ You need to pay actual RENT</t>
  </si>
  <si>
    <t>✓ Rent ≤ 10% of Basic = NO exemption</t>
  </si>
  <si>
    <t>✓ Metro vs Non-Metro matters</t>
  </si>
  <si>
    <t>✓ Keep rent receipt/agreement</t>
  </si>
  <si>
    <t>✓ Company pays HRA for convenience</t>
  </si>
  <si>
    <t>✓ Tax benefit = Exemption × Your Slab Rate</t>
  </si>
  <si>
    <t>House Rent Allowance - portion of salary for accommodation</t>
  </si>
  <si>
    <t>Salaried employees living in rented accommodation</t>
  </si>
  <si>
    <t>Only in OLD REGIME</t>
  </si>
  <si>
    <t>HRA is taxable - no exemption</t>
  </si>
  <si>
    <t>Enter Amount</t>
  </si>
  <si>
    <t>Select</t>
  </si>
  <si>
    <t>New Regime disallows HRA exemption</t>
  </si>
  <si>
    <t>Without rent, you cannot claim HRA exemption</t>
  </si>
  <si>
    <t>You get zero exemption if rent is that low</t>
  </si>
  <si>
    <t>Metro cities get 50% exemption, others get 40%</t>
  </si>
  <si>
    <t>For tax audit/scrutiny, have proof of rent paid</t>
  </si>
  <si>
    <t>It's a deduction facility, not extra income</t>
  </si>
  <si>
    <t>Higher income = higher tax benefit from exemption</t>
  </si>
  <si>
    <t>Source/Notes</t>
  </si>
  <si>
    <t>Metro/Non-Metro</t>
  </si>
  <si>
    <t>600000</t>
  </si>
  <si>
    <t>240000</t>
  </si>
  <si>
    <t>360000</t>
  </si>
  <si>
    <t>480000</t>
  </si>
  <si>
    <t>144000</t>
  </si>
  <si>
    <t>From salary slip</t>
  </si>
  <si>
    <t>Monthly × 12</t>
  </si>
  <si>
    <t>Important for exemption</t>
  </si>
  <si>
    <t>Actual rent paid</t>
  </si>
  <si>
    <t>The HRA you actually get</t>
  </si>
  <si>
    <t>If city is Metro: 50% of basic</t>
  </si>
  <si>
    <t>If city is Non-Metro: 40% of basic</t>
  </si>
  <si>
    <t>Rent minus 10% of basic</t>
  </si>
  <si>
    <t>Metro exemption formula</t>
  </si>
  <si>
    <t>Non-Metro exemption formula</t>
  </si>
  <si>
    <t>Example: ₹50,000/month</t>
  </si>
  <si>
    <t>Example: ₹20,000/month</t>
  </si>
  <si>
    <t>Example: ₹30,000/month</t>
  </si>
  <si>
    <t>300000</t>
  </si>
  <si>
    <t>240000 (LOWEST)</t>
  </si>
  <si>
    <t>Example: ₹40,000/month</t>
  </si>
  <si>
    <t>Example: ₹12,000/month</t>
  </si>
  <si>
    <t>192000</t>
  </si>
  <si>
    <t>144000 (LOWEST)</t>
  </si>
  <si>
    <t>So you get ₹240k exemption</t>
  </si>
  <si>
    <t>So you get ₹144k exemption</t>
  </si>
  <si>
    <t>HRA EXEMPTION DETAILED CALCULATION</t>
  </si>
  <si>
    <t>FEATURE COMPARISON TABLE</t>
  </si>
  <si>
    <t>Feature</t>
  </si>
  <si>
    <t>Tax Slabs</t>
  </si>
  <si>
    <t>Section 80 Deductions</t>
  </si>
  <si>
    <t>HRA Exemption</t>
  </si>
  <si>
    <t>Standard Deduction</t>
  </si>
  <si>
    <t>Complexity</t>
  </si>
  <si>
    <t>Best for Investors</t>
  </si>
  <si>
    <t>Best for Home Owners</t>
  </si>
  <si>
    <t>Best for Medical</t>
  </si>
  <si>
    <t>Flexibility</t>
  </si>
  <si>
    <t>WHO SHOULD CHOOSE WHICH REGIME?</t>
  </si>
  <si>
    <t>CHOOSE OLD REGIME IF YOU:</t>
  </si>
  <si>
    <t>✓ Invest in PPF, ELSS, FD (Section 80C)</t>
  </si>
  <si>
    <t>✓ Have Home Loan</t>
  </si>
  <si>
    <t>✓ Pay Medical Insurance</t>
  </si>
  <si>
    <t>✓ Paying Education Loan</t>
  </si>
  <si>
    <t>✓ Have Dependent Parent</t>
  </si>
  <si>
    <t>✓ Renting (Not owning home)</t>
  </si>
  <si>
    <t>✓ Low-to-Mid Income (5-10 LPA)</t>
  </si>
  <si>
    <t>✓ Charitable Giving</t>
  </si>
  <si>
    <t>CHOOSE NEW REGIME IF YOU:</t>
  </si>
  <si>
    <t>✓ High Income (&gt;20 LPA)</t>
  </si>
  <si>
    <t>✓ Don't Invest Much</t>
  </si>
  <si>
    <t>✓ Own Your Home</t>
  </si>
  <si>
    <t>✓ Prefer Simplicity</t>
  </si>
  <si>
    <t>✓ Want Transparency</t>
  </si>
  <si>
    <t>✓ Temporary High Income</t>
  </si>
  <si>
    <t>✓ Young Professional</t>
  </si>
  <si>
    <t>BREAK-EVEN INCOME ANALYSIS</t>
  </si>
  <si>
    <t>Income Level</t>
  </si>
  <si>
    <t>₹5,00,000</t>
  </si>
  <si>
    <t>₹7,50,000</t>
  </si>
  <si>
    <t>₹10,00,000</t>
  </si>
  <si>
    <t>₹15,00,000</t>
  </si>
  <si>
    <t>₹20,00,000</t>
  </si>
  <si>
    <t>₹25,00,000</t>
  </si>
  <si>
    <t>CALCULATION EXAMPLES</t>
  </si>
  <si>
    <t>SCENARIO 1: Young Salaried (₹8 LPA, Renting, Investing)</t>
  </si>
  <si>
    <t>Investment (80C)</t>
  </si>
  <si>
    <t>Rent Paid</t>
  </si>
  <si>
    <t>HRA Received</t>
  </si>
  <si>
    <t>OLD REGIME:</t>
  </si>
  <si>
    <t>Income Tax</t>
  </si>
  <si>
    <t>Health Cess</t>
  </si>
  <si>
    <t>TOTAL TAX</t>
  </si>
  <si>
    <t>NEW REGIME:</t>
  </si>
  <si>
    <t>COMPARISON:</t>
  </si>
  <si>
    <t>Old Regime Tax</t>
  </si>
  <si>
    <t>New Regime Tax</t>
  </si>
  <si>
    <t>SAVINGS WITH OLD REGIME</t>
  </si>
  <si>
    <t>SCENARIO 2: High Earner (₹25 LPA, Own Home, Minimal Investments)</t>
  </si>
  <si>
    <t>Home Loan Interest (24b)</t>
  </si>
  <si>
    <t>Investments (80C)</t>
  </si>
  <si>
    <t>Less: Deductions &amp; Standard</t>
  </si>
  <si>
    <t>₹0-2.5L (0%), 2.5-5L (5%), 5-10L (20%), 10L+ (30%)</t>
  </si>
  <si>
    <t>Available (80C, 80D, 80E, 24b, etc.)</t>
  </si>
  <si>
    <t>Available (₹0 to some amount)</t>
  </si>
  <si>
    <t>Complex - many deductions to track</t>
  </si>
  <si>
    <t>Those with PPF, ELSS, FD investments (80C)</t>
  </si>
  <si>
    <t>Those with home loan interest (24b)</t>
  </si>
  <si>
    <t>Those with insurance/medical bills (80D)</t>
  </si>
  <si>
    <t>Once chosen for 1 year, can switch next year</t>
  </si>
  <si>
    <t>Claim up to ₹1,50,000 deduction</t>
  </si>
  <si>
    <t>Claim up to ₹2,00,000 interest deduction (24b)</t>
  </si>
  <si>
    <t>Claim up to ₹25,000/year deduction (80D)</t>
  </si>
  <si>
    <t>Claim full interest deduction (80E)</t>
  </si>
  <si>
    <t>Claim ₹1,50,000 deduction (80CCC)</t>
  </si>
  <si>
    <t>Claim HRA exemption</t>
  </si>
  <si>
    <t>Deductions help reduce tax significantly</t>
  </si>
  <si>
    <t>Claim donations (80G)</t>
  </si>
  <si>
    <t>After deductions, old regime may not help much</t>
  </si>
  <si>
    <t>No PPF, ELSS, FD, or minimal investments</t>
  </si>
  <si>
    <t>No mortgage interest to claim</t>
  </si>
  <si>
    <t>Just enter income, calculate tax directly</t>
  </si>
  <si>
    <t>No complex calculations or deduction claims</t>
  </si>
  <si>
    <t>One-time bonus or high earner for 1 year</t>
  </si>
  <si>
    <t>Just starting, minimal investments yet</t>
  </si>
  <si>
    <t>Old Regime (Approx. Tax)</t>
  </si>
  <si>
    <t>₹0 - ₹5,000</t>
  </si>
  <si>
    <t>₹10,000 - ₹15,000</t>
  </si>
  <si>
    <t>₹30,000 - ₹50,000</t>
  </si>
  <si>
    <t>₹1,00,000 - ₹1,30,000</t>
  </si>
  <si>
    <t>₹2,00,000 - ₹2,40,000</t>
  </si>
  <si>
    <t>₹3,50,000 - ₹4,00,000</t>
  </si>
  <si>
    <t>₹0-3L (0%), 3-6L (5%), 6-9L (10%), 9-12L (15%), 12-15L (20%), 15-18L (30%), 18L+ (45%)</t>
  </si>
  <si>
    <t>NOT Available</t>
  </si>
  <si>
    <t>NOT Available - HRA is taxable</t>
  </si>
  <si>
    <t>Simple - straightforward slabs</t>
  </si>
  <si>
    <t>Those who don't invest much</t>
  </si>
  <si>
    <t>Not ideal - lose interest benefit</t>
  </si>
  <si>
    <t>Not ideal - lose medical benefit</t>
  </si>
  <si>
    <t>New Regime (Approx. Tax)</t>
  </si>
  <si>
    <t>₹22,500 - ₹25,000</t>
  </si>
  <si>
    <t>₹50,000 - ₹70,000</t>
  </si>
  <si>
    <t>₹1,50,000 - ₹1,80,000</t>
  </si>
  <si>
    <t>₹3,00,000 - ₹3,50,000</t>
  </si>
  <si>
    <t>₹4,80,000 - ₹5,40,000</t>
  </si>
  <si>
    <t>800000</t>
  </si>
  <si>
    <t>150000</t>
  </si>
  <si>
    <t>12000</t>
  </si>
  <si>
    <t>160000</t>
  </si>
  <si>
    <t>488000</t>
  </si>
  <si>
    <t>750000</t>
  </si>
  <si>
    <t>25000</t>
  </si>
  <si>
    <t>1000</t>
  </si>
  <si>
    <t>26000</t>
  </si>
  <si>
    <t>2500000</t>
  </si>
  <si>
    <t>225000</t>
  </si>
  <si>
    <t>2275000</t>
  </si>
  <si>
    <t>525000</t>
  </si>
  <si>
    <t>21000</t>
  </si>
  <si>
    <t>546000</t>
  </si>
  <si>
    <t>2450000</t>
  </si>
  <si>
    <t>722500</t>
  </si>
  <si>
    <t>28900</t>
  </si>
  <si>
    <t>751400</t>
  </si>
  <si>
    <t>205400</t>
  </si>
  <si>
    <t>Which is Better?</t>
  </si>
  <si>
    <t>Old Regime - fewer slabs</t>
  </si>
  <si>
    <t>Same</t>
  </si>
  <si>
    <t>Similar</t>
  </si>
  <si>
    <t>PPF/ELSS</t>
  </si>
  <si>
    <t>Self + family</t>
  </si>
  <si>
    <t>₹20k/month</t>
  </si>
  <si>
    <t>20% of CTC</t>
  </si>
  <si>
    <t>Actual HRA (minimum)</t>
  </si>
  <si>
    <t>After all deductions</t>
  </si>
  <si>
    <t>Below ₹2.5L slab</t>
  </si>
  <si>
    <t>(750k-600k)×5% + (600k-300k)×5%</t>
  </si>
  <si>
    <t>4% on tax</t>
  </si>
  <si>
    <t>Clear winner!</t>
  </si>
  <si>
    <t>On mortgage</t>
  </si>
  <si>
    <t>Minimal</t>
  </si>
  <si>
    <t>80C + 80D + 24b + Std Dev</t>
  </si>
  <si>
    <t>As per old slab</t>
  </si>
  <si>
    <t>Only this allowed</t>
  </si>
  <si>
    <t>As per new slab (higher rates)</t>
  </si>
  <si>
    <t>Nearly ₹2 lakh saved!</t>
  </si>
  <si>
    <t>Depends On</t>
  </si>
  <si>
    <t>Lower income → Old Regime</t>
  </si>
  <si>
    <t>If you use 80C, 80D, etc.</t>
  </si>
  <si>
    <t>If you're renting</t>
  </si>
  <si>
    <t>Equal benefit</t>
  </si>
  <si>
    <t>If you want simplicity</t>
  </si>
  <si>
    <t>If you invest regularly</t>
  </si>
  <si>
    <t>If you have home loan</t>
  </si>
  <si>
    <t>If you have insurance</t>
  </si>
  <si>
    <t>Can test both</t>
  </si>
  <si>
    <t>Reduces taxable income</t>
  </si>
  <si>
    <t>Significant savings</t>
  </si>
  <si>
    <t>No limit on deduction</t>
  </si>
  <si>
    <t>Additional savings</t>
  </si>
  <si>
    <t>Can be substantial</t>
  </si>
  <si>
    <t>Better than new regime</t>
  </si>
  <si>
    <t>Tax-efficient giving</t>
  </si>
  <si>
    <t>New slab rates better</t>
  </si>
  <si>
    <t>No deductions to claim</t>
  </si>
  <si>
    <t>HRA not available anyway</t>
  </si>
  <si>
    <t>No tracking deductions</t>
  </si>
  <si>
    <t>Straightforward numbers</t>
  </si>
  <si>
    <t>Simple to calculate</t>
  </si>
  <si>
    <t>Can switch later to old</t>
  </si>
  <si>
    <t>Savings</t>
  </si>
  <si>
    <t>Minimal difference</t>
  </si>
  <si>
    <t>₹7,500-15,000 saved</t>
  </si>
  <si>
    <t>₹10,000-25,000 saved</t>
  </si>
  <si>
    <t>₹30,000-50,000 saved</t>
  </si>
  <si>
    <t>₹60,000-1,00,000 saved</t>
  </si>
  <si>
    <t>₹80,000-1,40,000 saved</t>
  </si>
  <si>
    <t>OLD VS NEW TAX REGIME - COMPREHENSIVE COMPARISON</t>
  </si>
  <si>
    <t>IMPORTANT NOTE</t>
  </si>
  <si>
    <t>MAJOR DEDUCTIONS EXPLAINED</t>
  </si>
  <si>
    <t>SECTION 80C - Life Insurance, Investments, Savings (Max: ₹1,50,000)</t>
  </si>
  <si>
    <t>Category</t>
  </si>
  <si>
    <t>Life Insurance Premium</t>
  </si>
  <si>
    <t>Provident Fund (PF)</t>
  </si>
  <si>
    <t>Public Provident Fund</t>
  </si>
  <si>
    <t>Equity Linked Savings Scheme</t>
  </si>
  <si>
    <t>Fixed Deposit (5-year bank)</t>
  </si>
  <si>
    <t>National Savings Certificate</t>
  </si>
  <si>
    <t>Sukanya Samriddhi Scheme</t>
  </si>
  <si>
    <t>Tuition Fee (Education)</t>
  </si>
  <si>
    <t>SECTION 80D - Medical Insurance (Old Regime Only)</t>
  </si>
  <si>
    <t>Health Insurance (Self)</t>
  </si>
  <si>
    <t>Health Insurance (Family)</t>
  </si>
  <si>
    <t>Senior Citizen Insurance</t>
  </si>
  <si>
    <t>Mediclaim Premium</t>
  </si>
  <si>
    <t>Medical Check-up</t>
  </si>
  <si>
    <t>SECTION 80E - Education Loan Interest (No Limit)</t>
  </si>
  <si>
    <t>Eligible Loans</t>
  </si>
  <si>
    <t>Students Covered</t>
  </si>
  <si>
    <t>SECTION 24(B) - Home Loan Interest (Max: ₹2,00,000)</t>
  </si>
  <si>
    <t>Self-occupied Property</t>
  </si>
  <si>
    <t>Let-out Property</t>
  </si>
  <si>
    <t>Documentation</t>
  </si>
  <si>
    <t>SECTION 80G - Donations/Charity (Varies by Organization)</t>
  </si>
  <si>
    <t>Approved Charities</t>
  </si>
  <si>
    <t>Religious Institutions</t>
  </si>
  <si>
    <t>Research Organizations</t>
  </si>
  <si>
    <t>Political Donations</t>
  </si>
  <si>
    <t>SECTION 80CCC - Pension Contributions (Max: ₹1,50,000)</t>
  </si>
  <si>
    <t>Pension Policy</t>
  </si>
  <si>
    <t>SECTION 80U - Disability (Max: ₹75,000-₹1,25,000)</t>
  </si>
  <si>
    <t>Severe Disability</t>
  </si>
  <si>
    <t>Disability (Other)</t>
  </si>
  <si>
    <t>COMBINED DEDUCTION EXAMPLE</t>
  </si>
  <si>
    <t>Annual Income</t>
  </si>
  <si>
    <t>Deductions Claimed:</t>
  </si>
  <si>
    <t>80C - ELSS Investment</t>
  </si>
  <si>
    <t>80C - PPF Contribution</t>
  </si>
  <si>
    <t>80D - Medical Insurance</t>
  </si>
  <si>
    <t>80E - Education Loan Interest</t>
  </si>
  <si>
    <t>24(b) - Home Loan Interest</t>
  </si>
  <si>
    <t>80G - Charitable Donations</t>
  </si>
  <si>
    <t>TOTAL DEDUCTIONS</t>
  </si>
  <si>
    <t>TOTAL TAX BENEFITS</t>
  </si>
  <si>
    <t>Taxable Income = ₹12,00,000 - ₹5,55,000 = ₹6,45,000</t>
  </si>
  <si>
    <t>Tax on ₹6,45,000 (at 20% slab) = ₹29,000</t>
  </si>
  <si>
    <t>WITHOUT these deductions: Tax would be ~₹1,60,000</t>
  </si>
  <si>
    <t>TAX SAVINGS = ₹1,31,000 PER YEAR</t>
  </si>
  <si>
    <t>All Section 80 deductions are ONLY available in OLD REGIME</t>
  </si>
  <si>
    <t>New Regime disallows all these deductions</t>
  </si>
  <si>
    <t>Description</t>
  </si>
  <si>
    <t>LIC or private insurance policies</t>
  </si>
  <si>
    <t>Contribution to EPF (employer + employee)</t>
  </si>
  <si>
    <t>PPF - safe, guaranteed 7-8% return</t>
  </si>
  <si>
    <t>ELSS - mutual fund, 3-year lock-in, tax-free gains</t>
  </si>
  <si>
    <t>Bank FD with 5-year maturity</t>
  </si>
  <si>
    <t>NSC - government securities</t>
  </si>
  <si>
    <t>For girl child education (Parent contribution)</t>
  </si>
  <si>
    <t>School/college/coaching fees for children</t>
  </si>
  <si>
    <t>Any person</t>
  </si>
  <si>
    <t>Parents above 60 years</t>
  </si>
  <si>
    <t>Individuals &amp; dependents</t>
  </si>
  <si>
    <t>Annual health check-up</t>
  </si>
  <si>
    <t>Interest on loan for higher education (self or dependents)</t>
  </si>
  <si>
    <t>Bank loans, NBFC loans for bachelors/masters/doctorate</t>
  </si>
  <si>
    <t>Self, spouse, children, dependents</t>
  </si>
  <si>
    <t>Interest on loan taken for buying/construction of residential property</t>
  </si>
  <si>
    <t>First home or first self-occupied property</t>
  </si>
  <si>
    <t>Rented property (invested capital)</t>
  </si>
  <si>
    <t>Loan agreement, interest certificate from bank</t>
  </si>
  <si>
    <t>Donations to government-approved charitable organizations</t>
  </si>
  <si>
    <t>Donations to religious organizations</t>
  </si>
  <si>
    <t>Scientific/medical research organizations</t>
  </si>
  <si>
    <t>Contributions to political parties</t>
  </si>
  <si>
    <t>Contribution to approved pension plans</t>
  </si>
  <si>
    <t>Persons with severe disability (&gt;40% for salaried)</t>
  </si>
  <si>
    <t>Persons with disability &gt;40%</t>
  </si>
  <si>
    <t>Annual Limit</t>
  </si>
  <si>
    <t>Included in ₹1,50,000</t>
  </si>
  <si>
    <t>₹1,50,000 max (or up to available)</t>
  </si>
  <si>
    <t>Only tuition, not other fees</t>
  </si>
  <si>
    <t>₹25,000</t>
  </si>
  <si>
    <t>Included in limits</t>
  </si>
  <si>
    <t>₹5,000</t>
  </si>
  <si>
    <t>NO LIMIT</t>
  </si>
  <si>
    <t>Not principal, only interest</t>
  </si>
  <si>
    <t>Unlimited</t>
  </si>
  <si>
    <t>From bank annually</t>
  </si>
  <si>
    <t>Limit</t>
  </si>
  <si>
    <t>No limit (50% deduction)</t>
  </si>
  <si>
    <t>100% deduction</t>
  </si>
  <si>
    <t>No limit (100% deduction)</t>
  </si>
  <si>
    <t>₹1,25,000</t>
  </si>
  <si>
    <t>₹75,000</t>
  </si>
  <si>
    <t>₹12,00,000</t>
  </si>
  <si>
    <t>₹80,000</t>
  </si>
  <si>
    <t>₹5,05,000</t>
  </si>
  <si>
    <t>₹5,55,000</t>
  </si>
  <si>
    <t>Documents Needed</t>
  </si>
  <si>
    <t>Policy document + receipt</t>
  </si>
  <si>
    <t>PF statement</t>
  </si>
  <si>
    <t>PPF passbook</t>
  </si>
  <si>
    <t>Fund statement</t>
  </si>
  <si>
    <t>FD receipt</t>
  </si>
  <si>
    <t>NSC certificate</t>
  </si>
  <si>
    <t>SSS passbook</t>
  </si>
  <si>
    <t>Fee receipt from school</t>
  </si>
  <si>
    <t>Examples</t>
  </si>
  <si>
    <t>ICICI, Aditya Birla, Apollo</t>
  </si>
  <si>
    <t>All dependents in one policy</t>
  </si>
  <si>
    <t>Dedicated senior health plans</t>
  </si>
  <si>
    <t>Any insurance company</t>
  </si>
  <si>
    <t>From approved labs/hospitals</t>
  </si>
  <si>
    <t>Repayment Period</t>
  </si>
  <si>
    <t>While loan is active</t>
  </si>
  <si>
    <t>Max 8 years of repayment</t>
  </si>
  <si>
    <t>As long as education is approved</t>
  </si>
  <si>
    <t>Key Points</t>
  </si>
  <si>
    <t>Only interest, not principal</t>
  </si>
  <si>
    <t>Only one property qualifies</t>
  </si>
  <si>
    <t>For rental income</t>
  </si>
  <si>
    <t>Keep for tax audit</t>
  </si>
  <si>
    <t>PM Relief Fund, Red Cross</t>
  </si>
  <si>
    <t>Temples, Mosques, Churches</t>
  </si>
  <si>
    <t>CSIR, medical institutes</t>
  </si>
  <si>
    <t>Political parties only</t>
  </si>
  <si>
    <t>Who Can Claim</t>
  </si>
  <si>
    <t>Non-salaried persons primarily</t>
  </si>
  <si>
    <t>Required Proof</t>
  </si>
  <si>
    <t>Medical certificate</t>
  </si>
  <si>
    <t>Medical certificate from hospital</t>
  </si>
  <si>
    <t>Max limit</t>
  </si>
  <si>
    <t>Included in 80C max</t>
  </si>
  <si>
    <t>100% deduction for political</t>
  </si>
  <si>
    <t>Tips</t>
  </si>
  <si>
    <t>Any policy counts</t>
  </si>
  <si>
    <t>Employer deducts automatically</t>
  </si>
  <si>
    <t>Flexible withdrawal after 7 years</t>
  </si>
  <si>
    <t>Best for tax + growth</t>
  </si>
  <si>
    <t>Safe but low returns</t>
  </si>
  <si>
    <t>Very safe, 7-7.5% return</t>
  </si>
  <si>
    <t>For daughters only</t>
  </si>
  <si>
    <t>Any number of children</t>
  </si>
  <si>
    <t>Tax Benefit</t>
  </si>
  <si>
    <t>covers spouse + children</t>
  </si>
  <si>
    <t>Double limit for elderly</t>
  </si>
  <si>
    <t>Approved list available</t>
  </si>
  <si>
    <t>Medical examination</t>
  </si>
  <si>
    <t>Unlimited deduction</t>
  </si>
  <si>
    <t>Interest only</t>
  </si>
  <si>
    <t>Full interest deductible</t>
  </si>
  <si>
    <t>Full limit available</t>
  </si>
  <si>
    <t>All interest deductible</t>
  </si>
  <si>
    <t>Essential proof</t>
  </si>
  <si>
    <t>50% of amount deductible</t>
  </si>
  <si>
    <t>Full donation deductible</t>
  </si>
  <si>
    <t>Full amount deductible</t>
  </si>
  <si>
    <t>Not as common for salaried</t>
  </si>
  <si>
    <t>Higher limit for severe</t>
  </si>
  <si>
    <t>Automatic deduction</t>
  </si>
  <si>
    <t>Deductions are powerful!</t>
  </si>
  <si>
    <t>SECTION 80 DEDUCTIONS - COMPLETE GUIDE (OLD REGIME ONLY)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</si>
</sst>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cols>
    <col min="1" max="1" width="48.7109375" customWidth="1"/>
    <col min="2" max="2" width="12.7109375" customWidth="1"/>
    <col min="3" max="3" width="50.7109375" customWidth="1"/>
    <col min="4" max="4" width="39.7109375" customWidth="1"/>
    <col min="5" max="5" width="10.7109375" customWidth="1"/>
  </cols>
  <sheetData>
    <row r="1" spans="1:4">
      <c r="A1" t="s">
        <v>89</v>
      </c>
    </row>
    <row r="3" spans="1:4">
      <c r="A3" t="s">
        <v>0</v>
      </c>
    </row>
    <row r="5" spans="1:4">
      <c r="A5" t="s">
        <v>1</v>
      </c>
    </row>
    <row r="6" spans="1:4">
      <c r="A6" t="s">
        <v>2</v>
      </c>
      <c r="B6" t="s">
        <v>58</v>
      </c>
      <c r="C6" t="s">
        <v>60</v>
      </c>
      <c r="D6" t="s">
        <v>63</v>
      </c>
    </row>
    <row r="8" spans="1:4">
      <c r="A8" t="s">
        <v>3</v>
      </c>
    </row>
    <row r="9" spans="1:4">
      <c r="A9" t="s">
        <v>4</v>
      </c>
      <c r="B9" t="s">
        <v>58</v>
      </c>
      <c r="C9" t="s">
        <v>60</v>
      </c>
      <c r="D9" t="s">
        <v>64</v>
      </c>
    </row>
    <row r="10" spans="1:4">
      <c r="A10" t="s">
        <v>5</v>
      </c>
      <c r="B10" t="s">
        <v>58</v>
      </c>
      <c r="C10" t="s">
        <v>60</v>
      </c>
      <c r="D10" t="s">
        <v>65</v>
      </c>
    </row>
    <row r="11" spans="1:4">
      <c r="A11" t="s">
        <v>6</v>
      </c>
      <c r="B11" t="s">
        <v>58</v>
      </c>
      <c r="C11" t="s">
        <v>60</v>
      </c>
      <c r="D11" t="s">
        <v>66</v>
      </c>
    </row>
    <row r="12" spans="1:4">
      <c r="A12" t="s">
        <v>7</v>
      </c>
      <c r="B12" t="s">
        <v>58</v>
      </c>
      <c r="C12" t="s">
        <v>60</v>
      </c>
      <c r="D12" t="s">
        <v>67</v>
      </c>
    </row>
    <row r="13" spans="1:4">
      <c r="A13" t="s">
        <v>8</v>
      </c>
      <c r="B13" t="s">
        <v>58</v>
      </c>
      <c r="C13">
        <f>SUM(D6:D9)</f>
        <v>0</v>
      </c>
      <c r="D13" t="s">
        <v>68</v>
      </c>
    </row>
    <row r="15" spans="1:4">
      <c r="A15" t="s">
        <v>9</v>
      </c>
    </row>
    <row r="16" spans="1:4">
      <c r="A16" t="s">
        <v>10</v>
      </c>
      <c r="B16" t="s">
        <v>58</v>
      </c>
      <c r="C16" t="s">
        <v>61</v>
      </c>
      <c r="D16" t="s">
        <v>69</v>
      </c>
    </row>
    <row r="17" spans="1:4">
      <c r="A17" t="s">
        <v>11</v>
      </c>
      <c r="B17" t="s">
        <v>58</v>
      </c>
      <c r="C17" t="s">
        <v>61</v>
      </c>
      <c r="D17" t="s">
        <v>69</v>
      </c>
    </row>
    <row r="19" spans="1:4">
      <c r="A19" t="s">
        <v>12</v>
      </c>
      <c r="B19" t="s">
        <v>58</v>
      </c>
      <c r="C19" t="s">
        <v>60</v>
      </c>
      <c r="D19" t="s">
        <v>70</v>
      </c>
    </row>
    <row r="20" spans="1:4">
      <c r="A20" t="s">
        <v>13</v>
      </c>
      <c r="B20" t="s">
        <v>58</v>
      </c>
      <c r="C20" t="s">
        <v>60</v>
      </c>
      <c r="D20" t="s">
        <v>71</v>
      </c>
    </row>
    <row r="21" spans="1:4">
      <c r="A21" t="s">
        <v>14</v>
      </c>
      <c r="B21" t="s">
        <v>58</v>
      </c>
      <c r="C21" t="s">
        <v>60</v>
      </c>
      <c r="D21" t="s">
        <v>72</v>
      </c>
    </row>
    <row r="22" spans="1:4">
      <c r="A22" t="s">
        <v>15</v>
      </c>
      <c r="B22" t="s">
        <v>58</v>
      </c>
      <c r="C22" t="s">
        <v>60</v>
      </c>
      <c r="D22" t="s">
        <v>73</v>
      </c>
    </row>
    <row r="23" spans="1:4">
      <c r="A23" t="s">
        <v>16</v>
      </c>
      <c r="B23" t="s">
        <v>58</v>
      </c>
      <c r="C23" t="s">
        <v>60</v>
      </c>
      <c r="D23" t="s">
        <v>74</v>
      </c>
    </row>
    <row r="24" spans="1:4">
      <c r="A24" t="s">
        <v>17</v>
      </c>
      <c r="B24" t="s">
        <v>58</v>
      </c>
      <c r="C24" t="s">
        <v>60</v>
      </c>
      <c r="D24" t="s">
        <v>75</v>
      </c>
    </row>
    <row r="26" spans="1:4">
      <c r="A26" t="s">
        <v>18</v>
      </c>
    </row>
    <row r="27" spans="1:4">
      <c r="A27" t="s">
        <v>19</v>
      </c>
      <c r="B27" t="s">
        <v>58</v>
      </c>
      <c r="C27">
        <f>D9</f>
        <v>0</v>
      </c>
      <c r="D27" t="s">
        <v>76</v>
      </c>
    </row>
    <row r="28" spans="1:4">
      <c r="A28" t="s">
        <v>20</v>
      </c>
      <c r="B28" t="s">
        <v>58</v>
      </c>
      <c r="C28" t="s">
        <v>60</v>
      </c>
      <c r="D28" t="s">
        <v>77</v>
      </c>
    </row>
    <row r="29" spans="1:4">
      <c r="A29" t="s">
        <v>21</v>
      </c>
      <c r="B29" t="s">
        <v>58</v>
      </c>
      <c r="C29">
        <f>D6*0.50</f>
        <v>0</v>
      </c>
      <c r="D29" t="s">
        <v>78</v>
      </c>
    </row>
    <row r="31" spans="1:4">
      <c r="A31" t="s">
        <v>22</v>
      </c>
      <c r="B31" t="s">
        <v>58</v>
      </c>
      <c r="C31">
        <f>MIN(D26,D27-10000,D28)</f>
        <v>0</v>
      </c>
      <c r="D31" t="s">
        <v>79</v>
      </c>
    </row>
    <row r="33" spans="1:4">
      <c r="A33" t="s">
        <v>23</v>
      </c>
    </row>
    <row r="34" spans="1:4">
      <c r="A34" t="s">
        <v>24</v>
      </c>
      <c r="B34" t="s">
        <v>58</v>
      </c>
      <c r="C34">
        <f>D11</f>
        <v>0</v>
      </c>
    </row>
    <row r="35" spans="1:4">
      <c r="A35" t="s">
        <v>25</v>
      </c>
      <c r="B35" t="s">
        <v>58</v>
      </c>
      <c r="C35">
        <f>D30</f>
        <v>0</v>
      </c>
    </row>
    <row r="36" spans="1:4">
      <c r="A36" t="s">
        <v>26</v>
      </c>
      <c r="B36" t="s">
        <v>58</v>
      </c>
      <c r="C36">
        <f>D32-D33</f>
        <v>0</v>
      </c>
    </row>
    <row r="37" spans="1:4">
      <c r="A37" t="s">
        <v>27</v>
      </c>
      <c r="B37" t="s">
        <v>58</v>
      </c>
      <c r="C37">
        <f>D15</f>
        <v>0</v>
      </c>
    </row>
    <row r="38" spans="1:4">
      <c r="A38" t="s">
        <v>28</v>
      </c>
      <c r="B38" t="s">
        <v>58</v>
      </c>
      <c r="C38">
        <f>D20</f>
        <v>0</v>
      </c>
    </row>
    <row r="39" spans="1:4">
      <c r="A39" t="s">
        <v>29</v>
      </c>
      <c r="B39" t="s">
        <v>58</v>
      </c>
      <c r="C39">
        <f>D21</f>
        <v>0</v>
      </c>
    </row>
    <row r="40" spans="1:4">
      <c r="A40" t="s">
        <v>30</v>
      </c>
      <c r="B40" t="s">
        <v>58</v>
      </c>
      <c r="C40">
        <f>D22</f>
        <v>0</v>
      </c>
    </row>
    <row r="41" spans="1:4">
      <c r="A41" t="s">
        <v>31</v>
      </c>
      <c r="B41" t="s">
        <v>58</v>
      </c>
      <c r="C41">
        <f>D23</f>
        <v>0</v>
      </c>
    </row>
    <row r="42" spans="1:4">
      <c r="A42" t="s">
        <v>32</v>
      </c>
      <c r="B42" t="s">
        <v>58</v>
      </c>
      <c r="C42">
        <f>D24</f>
        <v>0</v>
      </c>
    </row>
    <row r="43" spans="1:4">
      <c r="A43" t="s">
        <v>33</v>
      </c>
      <c r="B43" t="s">
        <v>58</v>
      </c>
      <c r="C43">
        <f>D34-D35-D36-D37-D38-D39-D40</f>
        <v>0</v>
      </c>
      <c r="D43" t="s">
        <v>80</v>
      </c>
    </row>
    <row r="45" spans="1:4">
      <c r="A45" t="s">
        <v>34</v>
      </c>
    </row>
    <row r="46" spans="1:4">
      <c r="A46" t="s">
        <v>35</v>
      </c>
      <c r="B46" t="s">
        <v>58</v>
      </c>
      <c r="C46">
        <f>D41</f>
        <v>0</v>
      </c>
    </row>
    <row r="48" spans="1:4">
      <c r="A48" t="s">
        <v>36</v>
      </c>
      <c r="B48" t="s">
        <v>58</v>
      </c>
      <c r="C48">
        <f>IF(D43&lt;=250000,0,IF(D43&lt;=500000,(D43-250000)*0.05,IF(D43&lt;=1000000,12500+(D43-500000)*0.20,IF(D43&lt;=1500000,112500+(D43-1000000)*0.30,262500+(D43-1500000)*0.45))))</f>
        <v>0</v>
      </c>
      <c r="D48" t="s">
        <v>81</v>
      </c>
    </row>
    <row r="49" spans="1:4">
      <c r="A49" t="s">
        <v>37</v>
      </c>
      <c r="B49" t="s">
        <v>58</v>
      </c>
      <c r="C49">
        <f>D45*0.04</f>
        <v>0</v>
      </c>
      <c r="D49" t="s">
        <v>82</v>
      </c>
    </row>
    <row r="50" spans="1:4">
      <c r="A50" t="s">
        <v>38</v>
      </c>
      <c r="B50" t="s">
        <v>58</v>
      </c>
      <c r="C50">
        <f>D45+D46</f>
        <v>0</v>
      </c>
    </row>
    <row r="52" spans="1:4">
      <c r="A52" t="s">
        <v>39</v>
      </c>
    </row>
    <row r="53" spans="1:4">
      <c r="A53" t="s">
        <v>24</v>
      </c>
      <c r="B53" t="s">
        <v>58</v>
      </c>
      <c r="C53">
        <f>D11</f>
        <v>0</v>
      </c>
    </row>
    <row r="54" spans="1:4">
      <c r="A54" t="s">
        <v>40</v>
      </c>
      <c r="B54" t="s">
        <v>58</v>
      </c>
      <c r="C54">
        <f>D16</f>
        <v>0</v>
      </c>
    </row>
    <row r="55" spans="1:4">
      <c r="A55" t="s">
        <v>41</v>
      </c>
      <c r="B55" t="s">
        <v>58</v>
      </c>
      <c r="C55">
        <f>D50-D51</f>
        <v>0</v>
      </c>
      <c r="D55" t="s">
        <v>83</v>
      </c>
    </row>
    <row r="57" spans="1:4">
      <c r="A57" t="s">
        <v>42</v>
      </c>
    </row>
    <row r="58" spans="1:4">
      <c r="A58" t="s">
        <v>35</v>
      </c>
      <c r="B58" t="s">
        <v>58</v>
      </c>
      <c r="C58">
        <f>D52</f>
        <v>0</v>
      </c>
    </row>
    <row r="60" spans="1:4">
      <c r="A60" t="s">
        <v>43</v>
      </c>
      <c r="B60" t="s">
        <v>58</v>
      </c>
      <c r="C60">
        <f>IF(D54&lt;=300000,0,IF(D54&lt;=600000,(D54-300000)*0.05,IF(D54&lt;=900000,15000+(D54-600000)*0.10,IF(D54&lt;=1200000,45000+(D54-900000)*0.15,IF(D54&lt;=1500000,90000+(D54-1200000)*0.20,IF(D54&lt;=1800000,150000+(D54-1500000)*0.30,240000+(D54-1800000)*0.45))))))))</f>
        <v>0</v>
      </c>
      <c r="D60" t="s">
        <v>84</v>
      </c>
    </row>
    <row r="61" spans="1:4">
      <c r="A61" t="s">
        <v>37</v>
      </c>
      <c r="B61" t="s">
        <v>58</v>
      </c>
      <c r="C61">
        <f>D56*0.04</f>
        <v>0</v>
      </c>
      <c r="D61" t="s">
        <v>82</v>
      </c>
    </row>
    <row r="62" spans="1:4">
      <c r="A62" t="s">
        <v>44</v>
      </c>
      <c r="B62" t="s">
        <v>58</v>
      </c>
      <c r="C62">
        <f>D56+D57</f>
        <v>0</v>
      </c>
    </row>
    <row r="64" spans="1:4">
      <c r="A64" t="s">
        <v>45</v>
      </c>
    </row>
    <row r="65" spans="1:5">
      <c r="B65" t="s">
        <v>59</v>
      </c>
      <c r="C65" t="s">
        <v>62</v>
      </c>
      <c r="D65" t="s">
        <v>85</v>
      </c>
    </row>
    <row r="66" spans="1:5">
      <c r="A66" t="s">
        <v>46</v>
      </c>
      <c r="B66" t="s">
        <v>58</v>
      </c>
      <c r="C66">
        <f>D48</f>
        <v>0</v>
      </c>
      <c r="D66">
        <f>D59</f>
        <v>0</v>
      </c>
      <c r="E66">
        <f>E64-F64</f>
        <v>0</v>
      </c>
    </row>
    <row r="67" spans="1:5">
      <c r="A67" t="s">
        <v>47</v>
      </c>
      <c r="B67" t="s">
        <v>58</v>
      </c>
      <c r="C67">
        <f>IF(D48&lt;D59,D59-D48,0)</f>
        <v>0</v>
      </c>
      <c r="D67">
        <f>IF(D59&lt;D48,D48-D59,0)</f>
        <v>0</v>
      </c>
    </row>
    <row r="69" spans="1:5">
      <c r="A69" t="s">
        <v>48</v>
      </c>
    </row>
    <row r="70" spans="1:5">
      <c r="A70" t="s">
        <v>49</v>
      </c>
      <c r="B70" t="s">
        <v>58</v>
      </c>
      <c r="C70">
        <f>D3</f>
        <v>0</v>
      </c>
    </row>
    <row r="71" spans="1:5">
      <c r="A71" t="s">
        <v>50</v>
      </c>
      <c r="B71" t="s">
        <v>58</v>
      </c>
      <c r="C71">
        <f>D48</f>
        <v>0</v>
      </c>
    </row>
    <row r="72" spans="1:5">
      <c r="A72" t="s">
        <v>51</v>
      </c>
      <c r="B72" t="s">
        <v>58</v>
      </c>
      <c r="C72">
        <f>D59</f>
        <v>0</v>
      </c>
    </row>
    <row r="73" spans="1:5">
      <c r="A73" t="s">
        <v>52</v>
      </c>
      <c r="B73" t="s">
        <v>58</v>
      </c>
      <c r="C73">
        <f>D70-D71</f>
        <v>0</v>
      </c>
    </row>
    <row r="74" spans="1:5">
      <c r="A74" t="s">
        <v>53</v>
      </c>
      <c r="B74" t="s">
        <v>58</v>
      </c>
      <c r="C74">
        <f>D70-D72</f>
        <v>0</v>
      </c>
    </row>
    <row r="76" spans="1:5">
      <c r="A76" t="s">
        <v>54</v>
      </c>
      <c r="B76" t="s">
        <v>58</v>
      </c>
      <c r="C76">
        <f>D11/12</f>
        <v>0</v>
      </c>
      <c r="D76" t="s">
        <v>86</v>
      </c>
    </row>
    <row r="77" spans="1:5">
      <c r="A77" t="s">
        <v>55</v>
      </c>
      <c r="B77" t="s">
        <v>58</v>
      </c>
      <c r="C77">
        <f>D73/12</f>
        <v>0</v>
      </c>
      <c r="D77" t="s">
        <v>87</v>
      </c>
    </row>
    <row r="78" spans="1:5">
      <c r="A78" t="s">
        <v>56</v>
      </c>
      <c r="B78" t="s">
        <v>58</v>
      </c>
      <c r="C78">
        <f>D74/12</f>
        <v>0</v>
      </c>
      <c r="D78" t="s">
        <v>87</v>
      </c>
    </row>
    <row r="79" spans="1:5">
      <c r="A79" t="s">
        <v>57</v>
      </c>
      <c r="B79" t="s">
        <v>58</v>
      </c>
      <c r="C79">
        <f>(D72-D71)/12</f>
        <v>0</v>
      </c>
      <c r="D79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cols>
    <col min="1" max="1" width="50.7109375" customWidth="1"/>
    <col min="2" max="2" width="42.7109375" customWidth="1"/>
    <col min="3" max="3" width="33.7109375" customWidth="1"/>
    <col min="4" max="4" width="32.7109375" customWidth="1"/>
    <col min="5" max="5" width="33.7109375" customWidth="1"/>
  </cols>
  <sheetData>
    <row r="1" spans="1:5">
      <c r="A1" t="s">
        <v>214</v>
      </c>
    </row>
    <row r="3" spans="1:5">
      <c r="A3" t="s">
        <v>90</v>
      </c>
    </row>
    <row r="4" spans="1:5">
      <c r="A4" t="s">
        <v>91</v>
      </c>
      <c r="B4" t="s">
        <v>124</v>
      </c>
      <c r="C4" t="s">
        <v>150</v>
      </c>
      <c r="D4" t="s">
        <v>168</v>
      </c>
      <c r="E4" t="s">
        <v>193</v>
      </c>
    </row>
    <row r="5" spans="1:5">
      <c r="A5" t="s">
        <v>92</v>
      </c>
      <c r="B5" t="s">
        <v>125</v>
      </c>
      <c r="C5" t="s">
        <v>151</v>
      </c>
      <c r="D5" t="s">
        <v>169</v>
      </c>
      <c r="E5" t="s">
        <v>194</v>
      </c>
    </row>
    <row r="6" spans="1:5">
      <c r="A6" t="s">
        <v>93</v>
      </c>
      <c r="B6" t="s">
        <v>126</v>
      </c>
      <c r="C6" t="s">
        <v>152</v>
      </c>
      <c r="D6" t="s">
        <v>170</v>
      </c>
      <c r="E6" t="s">
        <v>195</v>
      </c>
    </row>
    <row r="7" spans="1:5">
      <c r="A7" t="s">
        <v>94</v>
      </c>
      <c r="B7" t="s">
        <v>127</v>
      </c>
      <c r="C7" t="s">
        <v>153</v>
      </c>
      <c r="D7" t="s">
        <v>170</v>
      </c>
      <c r="E7" t="s">
        <v>196</v>
      </c>
    </row>
    <row r="8" spans="1:5">
      <c r="A8" t="s">
        <v>95</v>
      </c>
      <c r="B8" t="s">
        <v>128</v>
      </c>
      <c r="C8" t="s">
        <v>154</v>
      </c>
      <c r="D8" t="s">
        <v>170</v>
      </c>
      <c r="E8" t="s">
        <v>197</v>
      </c>
    </row>
    <row r="10" spans="1:5">
      <c r="A10" t="s">
        <v>96</v>
      </c>
    </row>
    <row r="11" spans="1:5">
      <c r="A11" t="s">
        <v>97</v>
      </c>
      <c r="B11" t="s">
        <v>125</v>
      </c>
      <c r="C11" t="s">
        <v>151</v>
      </c>
      <c r="D11" t="s">
        <v>171</v>
      </c>
      <c r="E11" t="s">
        <v>198</v>
      </c>
    </row>
    <row r="12" spans="1:5">
      <c r="A12" t="s">
        <v>98</v>
      </c>
      <c r="B12" t="s">
        <v>129</v>
      </c>
      <c r="C12" t="s">
        <v>155</v>
      </c>
      <c r="D12" t="s">
        <v>171</v>
      </c>
      <c r="E12" t="s">
        <v>195</v>
      </c>
    </row>
    <row r="13" spans="1:5">
      <c r="A13" t="s">
        <v>99</v>
      </c>
      <c r="B13" t="s">
        <v>130</v>
      </c>
      <c r="C13" t="s">
        <v>154</v>
      </c>
      <c r="D13" t="s">
        <v>171</v>
      </c>
      <c r="E13" t="s">
        <v>199</v>
      </c>
    </row>
    <row r="15" spans="1:5">
      <c r="A15" t="s">
        <v>100</v>
      </c>
    </row>
    <row r="16" spans="1:5">
      <c r="A16" t="s">
        <v>101</v>
      </c>
      <c r="B16" t="s">
        <v>125</v>
      </c>
      <c r="C16" t="s">
        <v>151</v>
      </c>
      <c r="D16" t="s">
        <v>172</v>
      </c>
      <c r="E16" t="s">
        <v>174</v>
      </c>
    </row>
    <row r="17" spans="1:5">
      <c r="A17" t="s">
        <v>99</v>
      </c>
      <c r="B17" t="s">
        <v>130</v>
      </c>
      <c r="C17" t="s">
        <v>154</v>
      </c>
      <c r="D17" t="s">
        <v>172</v>
      </c>
      <c r="E17" t="s">
        <v>199</v>
      </c>
    </row>
    <row r="19" spans="1:5">
      <c r="A19" t="s">
        <v>102</v>
      </c>
    </row>
    <row r="20" spans="1:5">
      <c r="A20" t="s">
        <v>91</v>
      </c>
      <c r="B20" t="s">
        <v>124</v>
      </c>
      <c r="C20" t="s">
        <v>150</v>
      </c>
      <c r="D20" t="s">
        <v>173</v>
      </c>
      <c r="E20" t="s">
        <v>193</v>
      </c>
    </row>
    <row r="21" spans="1:5">
      <c r="A21" t="s">
        <v>97</v>
      </c>
      <c r="B21" t="s">
        <v>125</v>
      </c>
      <c r="C21" t="s">
        <v>151</v>
      </c>
      <c r="D21" t="s">
        <v>174</v>
      </c>
      <c r="E21" t="s">
        <v>200</v>
      </c>
    </row>
    <row r="22" spans="1:5">
      <c r="A22" t="s">
        <v>103</v>
      </c>
      <c r="B22" t="s">
        <v>131</v>
      </c>
      <c r="C22" t="s">
        <v>156</v>
      </c>
      <c r="D22" t="s">
        <v>175</v>
      </c>
      <c r="E22" t="s">
        <v>201</v>
      </c>
    </row>
    <row r="23" spans="1:5">
      <c r="A23" t="s">
        <v>104</v>
      </c>
      <c r="B23" t="s">
        <v>132</v>
      </c>
      <c r="C23" t="s">
        <v>157</v>
      </c>
      <c r="D23" t="s">
        <v>176</v>
      </c>
      <c r="E23" t="s">
        <v>202</v>
      </c>
    </row>
    <row r="24" spans="1:5">
      <c r="A24" t="s">
        <v>105</v>
      </c>
      <c r="B24" t="s">
        <v>133</v>
      </c>
      <c r="C24" t="s">
        <v>158</v>
      </c>
      <c r="D24" t="s">
        <v>177</v>
      </c>
      <c r="E24" t="s">
        <v>203</v>
      </c>
    </row>
    <row r="25" spans="1:5">
      <c r="A25" t="s">
        <v>106</v>
      </c>
      <c r="B25" t="s">
        <v>134</v>
      </c>
      <c r="C25" t="s">
        <v>159</v>
      </c>
      <c r="D25" t="s">
        <v>178</v>
      </c>
      <c r="E25" t="s">
        <v>204</v>
      </c>
    </row>
    <row r="26" spans="1:5">
      <c r="A26" t="s">
        <v>107</v>
      </c>
      <c r="B26" t="s">
        <v>135</v>
      </c>
      <c r="C26" t="s">
        <v>160</v>
      </c>
      <c r="D26" t="s">
        <v>179</v>
      </c>
      <c r="E26" t="s">
        <v>205</v>
      </c>
    </row>
    <row r="27" spans="1:5">
      <c r="A27" t="s">
        <v>108</v>
      </c>
      <c r="B27" t="s">
        <v>136</v>
      </c>
      <c r="C27" t="s">
        <v>154</v>
      </c>
      <c r="D27" t="s">
        <v>180</v>
      </c>
      <c r="E27" t="s">
        <v>206</v>
      </c>
    </row>
    <row r="29" spans="1:5">
      <c r="A29" t="s">
        <v>109</v>
      </c>
    </row>
    <row r="30" spans="1:5">
      <c r="A30" t="s">
        <v>110</v>
      </c>
      <c r="B30" t="s">
        <v>137</v>
      </c>
      <c r="C30" t="s">
        <v>161</v>
      </c>
      <c r="D30" t="s">
        <v>181</v>
      </c>
      <c r="E30" t="s">
        <v>207</v>
      </c>
    </row>
    <row r="31" spans="1:5">
      <c r="A31" t="s">
        <v>111</v>
      </c>
      <c r="B31" t="s">
        <v>138</v>
      </c>
      <c r="C31" t="s">
        <v>159</v>
      </c>
      <c r="D31" t="s">
        <v>182</v>
      </c>
      <c r="E31" t="s">
        <v>208</v>
      </c>
    </row>
    <row r="32" spans="1:5">
      <c r="A32" t="s">
        <v>112</v>
      </c>
      <c r="B32" t="s">
        <v>139</v>
      </c>
      <c r="C32" t="s">
        <v>162</v>
      </c>
      <c r="D32" t="s">
        <v>182</v>
      </c>
      <c r="E32" t="s">
        <v>209</v>
      </c>
    </row>
    <row r="33" spans="1:5">
      <c r="A33" t="s">
        <v>112</v>
      </c>
      <c r="B33" t="s">
        <v>139</v>
      </c>
      <c r="C33" t="s">
        <v>163</v>
      </c>
      <c r="D33" t="s">
        <v>183</v>
      </c>
      <c r="E33" t="s">
        <v>209</v>
      </c>
    </row>
    <row r="34" spans="1:5">
      <c r="A34" t="s">
        <v>113</v>
      </c>
      <c r="B34" t="s">
        <v>140</v>
      </c>
      <c r="C34" t="s">
        <v>73</v>
      </c>
      <c r="D34" t="s">
        <v>184</v>
      </c>
      <c r="E34" t="s">
        <v>209</v>
      </c>
    </row>
    <row r="35" spans="1:5">
      <c r="A35" t="s">
        <v>114</v>
      </c>
      <c r="B35" t="s">
        <v>141</v>
      </c>
      <c r="C35" t="s">
        <v>164</v>
      </c>
      <c r="D35" t="s">
        <v>185</v>
      </c>
      <c r="E35" t="s">
        <v>209</v>
      </c>
    </row>
    <row r="36" spans="1:5">
      <c r="A36" t="s">
        <v>115</v>
      </c>
      <c r="B36" t="s">
        <v>142</v>
      </c>
      <c r="C36" t="s">
        <v>165</v>
      </c>
      <c r="D36" t="s">
        <v>186</v>
      </c>
      <c r="E36" t="s">
        <v>209</v>
      </c>
    </row>
    <row r="37" spans="1:5">
      <c r="A37" t="s">
        <v>116</v>
      </c>
      <c r="B37" t="s">
        <v>143</v>
      </c>
      <c r="C37" t="s">
        <v>159</v>
      </c>
      <c r="D37" t="s">
        <v>187</v>
      </c>
      <c r="E37" t="s">
        <v>209</v>
      </c>
    </row>
    <row r="38" spans="1:5">
      <c r="A38" t="s">
        <v>117</v>
      </c>
      <c r="B38" t="s">
        <v>144</v>
      </c>
      <c r="C38" t="s">
        <v>166</v>
      </c>
      <c r="D38" t="s">
        <v>188</v>
      </c>
      <c r="E38" t="s">
        <v>209</v>
      </c>
    </row>
    <row r="40" spans="1:5">
      <c r="A40" t="s">
        <v>118</v>
      </c>
    </row>
    <row r="41" spans="1:5">
      <c r="A41" t="s">
        <v>110</v>
      </c>
      <c r="B41" t="s">
        <v>145</v>
      </c>
      <c r="C41" t="s">
        <v>167</v>
      </c>
      <c r="D41" t="s">
        <v>168</v>
      </c>
      <c r="E41" t="s">
        <v>193</v>
      </c>
    </row>
    <row r="42" spans="1:5">
      <c r="A42" t="s">
        <v>119</v>
      </c>
      <c r="B42" t="s">
        <v>146</v>
      </c>
      <c r="C42" t="s">
        <v>146</v>
      </c>
      <c r="D42" t="s">
        <v>189</v>
      </c>
      <c r="E42" t="s">
        <v>210</v>
      </c>
    </row>
    <row r="44" spans="1:5">
      <c r="A44" t="s">
        <v>120</v>
      </c>
    </row>
    <row r="45" spans="1:5">
      <c r="A45" t="s">
        <v>121</v>
      </c>
      <c r="B45" t="s">
        <v>147</v>
      </c>
      <c r="D45" t="s">
        <v>190</v>
      </c>
      <c r="E45" t="s">
        <v>211</v>
      </c>
    </row>
    <row r="46" spans="1:5">
      <c r="A46" t="s">
        <v>122</v>
      </c>
      <c r="B46" t="s">
        <v>148</v>
      </c>
      <c r="D46" t="s">
        <v>191</v>
      </c>
      <c r="E46" t="s">
        <v>212</v>
      </c>
    </row>
    <row r="47" spans="1:5">
      <c r="A47" t="s">
        <v>123</v>
      </c>
      <c r="B47" t="s">
        <v>149</v>
      </c>
      <c r="D47" t="s">
        <v>192</v>
      </c>
      <c r="E47" t="s">
        <v>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cols>
    <col min="1" max="2" width="50.7109375" customWidth="1"/>
    <col min="3" max="3" width="19.7109375" customWidth="1"/>
    <col min="4" max="4" width="36.7109375" customWidth="1"/>
    <col min="5" max="5" width="28.7109375" customWidth="1"/>
  </cols>
  <sheetData>
    <row r="1" spans="1:4">
      <c r="A1" t="s">
        <v>296</v>
      </c>
    </row>
    <row r="3" spans="1:4">
      <c r="A3" t="s">
        <v>215</v>
      </c>
    </row>
    <row r="5" spans="1:4">
      <c r="A5" t="s">
        <v>216</v>
      </c>
      <c r="B5" t="s">
        <v>255</v>
      </c>
    </row>
    <row r="6" spans="1:4">
      <c r="A6" t="s">
        <v>217</v>
      </c>
      <c r="B6" t="s">
        <v>256</v>
      </c>
    </row>
    <row r="7" spans="1:4">
      <c r="A7" t="s">
        <v>218</v>
      </c>
      <c r="B7" t="s">
        <v>257</v>
      </c>
    </row>
    <row r="8" spans="1:4">
      <c r="A8" t="s">
        <v>219</v>
      </c>
      <c r="B8" t="s">
        <v>258</v>
      </c>
    </row>
    <row r="10" spans="1:4">
      <c r="A10" t="s">
        <v>220</v>
      </c>
    </row>
    <row r="12" spans="1:4">
      <c r="A12" t="s">
        <v>221</v>
      </c>
      <c r="B12" t="s">
        <v>259</v>
      </c>
      <c r="C12" t="s">
        <v>268</v>
      </c>
    </row>
    <row r="13" spans="1:4">
      <c r="A13" t="s">
        <v>222</v>
      </c>
      <c r="B13" t="s">
        <v>58</v>
      </c>
      <c r="C13" t="s">
        <v>60</v>
      </c>
      <c r="D13" t="s">
        <v>275</v>
      </c>
    </row>
    <row r="14" spans="1:4">
      <c r="A14" t="s">
        <v>223</v>
      </c>
      <c r="B14" t="s">
        <v>58</v>
      </c>
      <c r="C14">
        <f>D15*12</f>
        <v>0</v>
      </c>
      <c r="D14" t="s">
        <v>276</v>
      </c>
    </row>
    <row r="15" spans="1:4">
      <c r="A15" t="s">
        <v>224</v>
      </c>
      <c r="B15" t="s">
        <v>58</v>
      </c>
      <c r="C15" t="s">
        <v>60</v>
      </c>
      <c r="D15" t="s">
        <v>275</v>
      </c>
    </row>
    <row r="16" spans="1:4">
      <c r="A16" t="s">
        <v>225</v>
      </c>
      <c r="B16" t="s">
        <v>58</v>
      </c>
      <c r="C16">
        <f>D17*12</f>
        <v>0</v>
      </c>
      <c r="D16" t="s">
        <v>276</v>
      </c>
    </row>
    <row r="17" spans="1:4">
      <c r="A17" t="s">
        <v>226</v>
      </c>
      <c r="B17" t="s">
        <v>260</v>
      </c>
      <c r="C17" t="s">
        <v>269</v>
      </c>
      <c r="D17" t="s">
        <v>277</v>
      </c>
    </row>
    <row r="18" spans="1:4">
      <c r="A18" t="s">
        <v>227</v>
      </c>
      <c r="B18" t="s">
        <v>58</v>
      </c>
      <c r="C18" t="s">
        <v>60</v>
      </c>
      <c r="D18" t="s">
        <v>278</v>
      </c>
    </row>
    <row r="19" spans="1:4">
      <c r="A19" t="s">
        <v>20</v>
      </c>
      <c r="B19" t="s">
        <v>58</v>
      </c>
      <c r="C19">
        <f>D21*12</f>
        <v>0</v>
      </c>
      <c r="D19" t="s">
        <v>276</v>
      </c>
    </row>
    <row r="21" spans="1:4">
      <c r="A21" t="s">
        <v>228</v>
      </c>
    </row>
    <row r="23" spans="1:4">
      <c r="A23" t="s">
        <v>229</v>
      </c>
    </row>
    <row r="25" spans="1:4">
      <c r="A25" t="s">
        <v>230</v>
      </c>
      <c r="B25" t="s">
        <v>58</v>
      </c>
      <c r="C25">
        <f>D19</f>
        <v>0</v>
      </c>
      <c r="D25" t="s">
        <v>279</v>
      </c>
    </row>
    <row r="26" spans="1:4">
      <c r="A26" t="s">
        <v>231</v>
      </c>
      <c r="B26" t="s">
        <v>58</v>
      </c>
      <c r="C26">
        <f>D17*0.50</f>
        <v>0</v>
      </c>
      <c r="D26" t="s">
        <v>280</v>
      </c>
    </row>
    <row r="27" spans="1:4">
      <c r="A27" t="s">
        <v>232</v>
      </c>
      <c r="B27" t="s">
        <v>58</v>
      </c>
      <c r="C27">
        <f>D17*0.40</f>
        <v>0</v>
      </c>
      <c r="D27" t="s">
        <v>281</v>
      </c>
    </row>
    <row r="28" spans="1:4">
      <c r="A28" t="s">
        <v>233</v>
      </c>
      <c r="B28" t="s">
        <v>58</v>
      </c>
      <c r="C28">
        <f>D23-D17*0.10</f>
        <v>0</v>
      </c>
      <c r="D28" t="s">
        <v>282</v>
      </c>
    </row>
    <row r="30" spans="1:4">
      <c r="A30" t="s">
        <v>234</v>
      </c>
    </row>
    <row r="32" spans="1:4">
      <c r="A32" t="s">
        <v>235</v>
      </c>
    </row>
    <row r="33" spans="1:5">
      <c r="A33" t="s">
        <v>236</v>
      </c>
      <c r="B33" t="s">
        <v>58</v>
      </c>
      <c r="C33">
        <f>MIN(D26,D27,D30)</f>
        <v>0</v>
      </c>
      <c r="D33" t="s">
        <v>283</v>
      </c>
    </row>
    <row r="35" spans="1:5">
      <c r="A35" t="s">
        <v>237</v>
      </c>
    </row>
    <row r="36" spans="1:5">
      <c r="A36" t="s">
        <v>238</v>
      </c>
      <c r="B36" t="s">
        <v>58</v>
      </c>
      <c r="C36">
        <f>MIN(D26,D28,D30)</f>
        <v>0</v>
      </c>
      <c r="D36" t="s">
        <v>284</v>
      </c>
    </row>
    <row r="38" spans="1:5">
      <c r="A38" t="s">
        <v>239</v>
      </c>
    </row>
    <row r="40" spans="1:5">
      <c r="A40" t="s">
        <v>223</v>
      </c>
      <c r="B40" t="s">
        <v>58</v>
      </c>
      <c r="C40" t="s">
        <v>270</v>
      </c>
      <c r="D40" t="s">
        <v>285</v>
      </c>
    </row>
    <row r="41" spans="1:5">
      <c r="A41" t="s">
        <v>225</v>
      </c>
      <c r="B41" t="s">
        <v>58</v>
      </c>
      <c r="C41" t="s">
        <v>271</v>
      </c>
      <c r="D41" t="s">
        <v>286</v>
      </c>
    </row>
    <row r="42" spans="1:5">
      <c r="A42" t="s">
        <v>20</v>
      </c>
      <c r="B42" t="s">
        <v>58</v>
      </c>
      <c r="C42" t="s">
        <v>272</v>
      </c>
      <c r="D42" t="s">
        <v>287</v>
      </c>
    </row>
    <row r="44" spans="1:5">
      <c r="A44" t="s">
        <v>240</v>
      </c>
      <c r="B44" t="s">
        <v>58</v>
      </c>
      <c r="C44">
        <f>D38</f>
        <v>0</v>
      </c>
      <c r="D44" t="s">
        <v>271</v>
      </c>
    </row>
    <row r="45" spans="1:5">
      <c r="A45" t="s">
        <v>241</v>
      </c>
      <c r="B45" t="s">
        <v>58</v>
      </c>
      <c r="C45">
        <f>D37*0.50</f>
        <v>0</v>
      </c>
      <c r="D45" t="s">
        <v>288</v>
      </c>
    </row>
    <row r="46" spans="1:5">
      <c r="A46" t="s">
        <v>242</v>
      </c>
      <c r="B46" t="s">
        <v>58</v>
      </c>
      <c r="C46">
        <f>D39-D37*0.10</f>
        <v>0</v>
      </c>
      <c r="D46" t="s">
        <v>288</v>
      </c>
    </row>
    <row r="48" spans="1:5">
      <c r="A48" t="s">
        <v>243</v>
      </c>
      <c r="B48" t="s">
        <v>58</v>
      </c>
      <c r="C48">
        <f>MIN(D42,D43,D44)</f>
        <v>0</v>
      </c>
      <c r="D48" t="s">
        <v>289</v>
      </c>
      <c r="E48" t="s">
        <v>294</v>
      </c>
    </row>
    <row r="50" spans="1:5">
      <c r="A50" t="s">
        <v>244</v>
      </c>
    </row>
    <row r="52" spans="1:5">
      <c r="A52" t="s">
        <v>223</v>
      </c>
      <c r="B52" t="s">
        <v>58</v>
      </c>
      <c r="C52" t="s">
        <v>273</v>
      </c>
      <c r="D52" t="s">
        <v>290</v>
      </c>
    </row>
    <row r="53" spans="1:5">
      <c r="A53" t="s">
        <v>225</v>
      </c>
      <c r="B53" t="s">
        <v>58</v>
      </c>
      <c r="C53" t="s">
        <v>274</v>
      </c>
      <c r="D53" t="s">
        <v>291</v>
      </c>
    </row>
    <row r="54" spans="1:5">
      <c r="A54" t="s">
        <v>20</v>
      </c>
      <c r="B54" t="s">
        <v>58</v>
      </c>
      <c r="C54" t="s">
        <v>271</v>
      </c>
      <c r="D54" t="s">
        <v>286</v>
      </c>
    </row>
    <row r="56" spans="1:5">
      <c r="A56" t="s">
        <v>240</v>
      </c>
      <c r="B56" t="s">
        <v>58</v>
      </c>
      <c r="C56">
        <f>D50</f>
        <v>0</v>
      </c>
      <c r="D56" t="s">
        <v>274</v>
      </c>
    </row>
    <row r="57" spans="1:5">
      <c r="A57" t="s">
        <v>245</v>
      </c>
      <c r="B57" t="s">
        <v>58</v>
      </c>
      <c r="C57">
        <f>D49*0.40</f>
        <v>0</v>
      </c>
      <c r="D57" t="s">
        <v>292</v>
      </c>
    </row>
    <row r="58" spans="1:5">
      <c r="A58" t="s">
        <v>242</v>
      </c>
      <c r="B58" t="s">
        <v>58</v>
      </c>
      <c r="C58">
        <f>D51-D49*0.10</f>
        <v>0</v>
      </c>
      <c r="D58" t="s">
        <v>292</v>
      </c>
    </row>
    <row r="60" spans="1:5">
      <c r="A60" t="s">
        <v>246</v>
      </c>
      <c r="B60" t="s">
        <v>58</v>
      </c>
      <c r="C60">
        <f>MIN(D54,D55,D56)</f>
        <v>0</v>
      </c>
      <c r="D60" t="s">
        <v>293</v>
      </c>
      <c r="E60" t="s">
        <v>295</v>
      </c>
    </row>
    <row r="62" spans="1:5">
      <c r="A62" t="s">
        <v>247</v>
      </c>
    </row>
    <row r="64" spans="1:5">
      <c r="A64" t="s">
        <v>248</v>
      </c>
      <c r="B64" t="s">
        <v>261</v>
      </c>
    </row>
    <row r="65" spans="1:2">
      <c r="A65" t="s">
        <v>249</v>
      </c>
      <c r="B65" t="s">
        <v>262</v>
      </c>
    </row>
    <row r="66" spans="1:2">
      <c r="A66" t="s">
        <v>250</v>
      </c>
      <c r="B66" t="s">
        <v>263</v>
      </c>
    </row>
    <row r="67" spans="1:2">
      <c r="A67" t="s">
        <v>251</v>
      </c>
      <c r="B67" t="s">
        <v>264</v>
      </c>
    </row>
    <row r="68" spans="1:2">
      <c r="A68" t="s">
        <v>252</v>
      </c>
      <c r="B68" t="s">
        <v>265</v>
      </c>
    </row>
    <row r="69" spans="1:2">
      <c r="A69" t="s">
        <v>253</v>
      </c>
      <c r="B69" t="s">
        <v>266</v>
      </c>
    </row>
    <row r="70" spans="1:2">
      <c r="A70" t="s">
        <v>254</v>
      </c>
      <c r="B70" t="s">
        <v>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FormatPr defaultRowHeight="15"/>
  <cols>
    <col min="1" max="3" width="50.7109375" customWidth="1"/>
    <col min="4" max="4" width="33.7109375" customWidth="1"/>
    <col min="5" max="5" width="27.7109375" customWidth="1"/>
  </cols>
  <sheetData>
    <row r="1" spans="1:5">
      <c r="A1" t="s">
        <v>467</v>
      </c>
    </row>
    <row r="3" spans="1:5">
      <c r="A3" t="s">
        <v>297</v>
      </c>
    </row>
    <row r="4" spans="1:5">
      <c r="A4" t="s">
        <v>298</v>
      </c>
      <c r="B4" t="s">
        <v>59</v>
      </c>
      <c r="C4" t="s">
        <v>62</v>
      </c>
      <c r="D4" t="s">
        <v>415</v>
      </c>
      <c r="E4" t="s">
        <v>436</v>
      </c>
    </row>
    <row r="5" spans="1:5">
      <c r="A5" t="s">
        <v>299</v>
      </c>
      <c r="B5" t="s">
        <v>352</v>
      </c>
      <c r="C5" t="s">
        <v>382</v>
      </c>
      <c r="D5" t="s">
        <v>416</v>
      </c>
      <c r="E5" t="s">
        <v>437</v>
      </c>
    </row>
    <row r="6" spans="1:5">
      <c r="A6" t="s">
        <v>300</v>
      </c>
      <c r="B6" t="s">
        <v>353</v>
      </c>
      <c r="C6" t="s">
        <v>383</v>
      </c>
      <c r="D6" t="s">
        <v>145</v>
      </c>
      <c r="E6" t="s">
        <v>438</v>
      </c>
    </row>
    <row r="7" spans="1:5">
      <c r="A7" t="s">
        <v>301</v>
      </c>
      <c r="B7" t="s">
        <v>354</v>
      </c>
      <c r="C7" t="s">
        <v>384</v>
      </c>
      <c r="D7" t="s">
        <v>145</v>
      </c>
      <c r="E7" t="s">
        <v>439</v>
      </c>
    </row>
    <row r="8" spans="1:5">
      <c r="A8" t="s">
        <v>302</v>
      </c>
      <c r="B8" t="s">
        <v>146</v>
      </c>
      <c r="C8" t="s">
        <v>146</v>
      </c>
      <c r="D8" t="s">
        <v>417</v>
      </c>
      <c r="E8" t="s">
        <v>440</v>
      </c>
    </row>
    <row r="9" spans="1:5">
      <c r="A9" t="s">
        <v>303</v>
      </c>
      <c r="B9" t="s">
        <v>355</v>
      </c>
      <c r="C9" t="s">
        <v>385</v>
      </c>
      <c r="D9" t="s">
        <v>167</v>
      </c>
      <c r="E9" t="s">
        <v>441</v>
      </c>
    </row>
    <row r="10" spans="1:5">
      <c r="A10" t="s">
        <v>304</v>
      </c>
      <c r="B10" t="s">
        <v>356</v>
      </c>
      <c r="C10" t="s">
        <v>386</v>
      </c>
      <c r="D10" t="s">
        <v>145</v>
      </c>
      <c r="E10" t="s">
        <v>442</v>
      </c>
    </row>
    <row r="11" spans="1:5">
      <c r="A11" t="s">
        <v>305</v>
      </c>
      <c r="B11" t="s">
        <v>357</v>
      </c>
      <c r="C11" t="s">
        <v>387</v>
      </c>
      <c r="D11" t="s">
        <v>145</v>
      </c>
      <c r="E11" t="s">
        <v>443</v>
      </c>
    </row>
    <row r="12" spans="1:5">
      <c r="A12" t="s">
        <v>306</v>
      </c>
      <c r="B12" t="s">
        <v>358</v>
      </c>
      <c r="C12" t="s">
        <v>388</v>
      </c>
      <c r="D12" t="s">
        <v>145</v>
      </c>
      <c r="E12" t="s">
        <v>444</v>
      </c>
    </row>
    <row r="13" spans="1:5">
      <c r="A13" t="s">
        <v>307</v>
      </c>
      <c r="B13" t="s">
        <v>359</v>
      </c>
      <c r="C13" t="s">
        <v>359</v>
      </c>
      <c r="D13" t="s">
        <v>417</v>
      </c>
      <c r="E13" t="s">
        <v>445</v>
      </c>
    </row>
    <row r="15" spans="1:5">
      <c r="A15" t="s">
        <v>308</v>
      </c>
    </row>
    <row r="17" spans="1:5">
      <c r="A17" t="s">
        <v>309</v>
      </c>
    </row>
    <row r="18" spans="1:5">
      <c r="A18" t="s">
        <v>310</v>
      </c>
      <c r="B18" t="s">
        <v>360</v>
      </c>
      <c r="E18" t="s">
        <v>446</v>
      </c>
    </row>
    <row r="19" spans="1:5">
      <c r="A19" t="s">
        <v>311</v>
      </c>
      <c r="B19" t="s">
        <v>361</v>
      </c>
      <c r="E19" t="s">
        <v>447</v>
      </c>
    </row>
    <row r="20" spans="1:5">
      <c r="A20" t="s">
        <v>312</v>
      </c>
      <c r="B20" t="s">
        <v>362</v>
      </c>
      <c r="E20" t="s">
        <v>446</v>
      </c>
    </row>
    <row r="21" spans="1:5">
      <c r="A21" t="s">
        <v>313</v>
      </c>
      <c r="B21" t="s">
        <v>363</v>
      </c>
      <c r="E21" t="s">
        <v>448</v>
      </c>
    </row>
    <row r="22" spans="1:5">
      <c r="A22" t="s">
        <v>314</v>
      </c>
      <c r="B22" t="s">
        <v>364</v>
      </c>
      <c r="E22" t="s">
        <v>449</v>
      </c>
    </row>
    <row r="23" spans="1:5">
      <c r="A23" t="s">
        <v>315</v>
      </c>
      <c r="B23" t="s">
        <v>365</v>
      </c>
      <c r="E23" t="s">
        <v>450</v>
      </c>
    </row>
    <row r="24" spans="1:5">
      <c r="A24" t="s">
        <v>316</v>
      </c>
      <c r="B24" t="s">
        <v>366</v>
      </c>
      <c r="E24" t="s">
        <v>451</v>
      </c>
    </row>
    <row r="25" spans="1:5">
      <c r="A25" t="s">
        <v>317</v>
      </c>
      <c r="B25" t="s">
        <v>367</v>
      </c>
      <c r="E25" t="s">
        <v>452</v>
      </c>
    </row>
    <row r="27" spans="1:5">
      <c r="A27" t="s">
        <v>318</v>
      </c>
    </row>
    <row r="28" spans="1:5">
      <c r="A28" t="s">
        <v>319</v>
      </c>
      <c r="B28" t="s">
        <v>368</v>
      </c>
      <c r="E28" t="s">
        <v>453</v>
      </c>
    </row>
    <row r="29" spans="1:5">
      <c r="A29" t="s">
        <v>320</v>
      </c>
      <c r="B29" t="s">
        <v>369</v>
      </c>
      <c r="E29" t="s">
        <v>454</v>
      </c>
    </row>
    <row r="30" spans="1:5">
      <c r="A30" t="s">
        <v>321</v>
      </c>
      <c r="B30" t="s">
        <v>370</v>
      </c>
      <c r="E30" t="s">
        <v>455</v>
      </c>
    </row>
    <row r="31" spans="1:5">
      <c r="A31" t="s">
        <v>322</v>
      </c>
      <c r="B31" t="s">
        <v>371</v>
      </c>
      <c r="E31" t="s">
        <v>456</v>
      </c>
    </row>
    <row r="32" spans="1:5">
      <c r="A32" t="s">
        <v>323</v>
      </c>
      <c r="B32" t="s">
        <v>372</v>
      </c>
      <c r="E32" t="s">
        <v>457</v>
      </c>
    </row>
    <row r="33" spans="1:5">
      <c r="A33" t="s">
        <v>324</v>
      </c>
      <c r="B33" t="s">
        <v>373</v>
      </c>
      <c r="E33" t="s">
        <v>458</v>
      </c>
    </row>
    <row r="34" spans="1:5">
      <c r="A34" t="s">
        <v>325</v>
      </c>
      <c r="B34" t="s">
        <v>374</v>
      </c>
      <c r="E34" t="s">
        <v>459</v>
      </c>
    </row>
    <row r="36" spans="1:5">
      <c r="A36" t="s">
        <v>326</v>
      </c>
    </row>
    <row r="37" spans="1:5">
      <c r="A37" t="s">
        <v>327</v>
      </c>
      <c r="B37" t="s">
        <v>375</v>
      </c>
      <c r="C37" t="s">
        <v>389</v>
      </c>
      <c r="D37" t="s">
        <v>415</v>
      </c>
      <c r="E37" t="s">
        <v>460</v>
      </c>
    </row>
    <row r="38" spans="1:5">
      <c r="A38" t="s">
        <v>328</v>
      </c>
      <c r="B38" t="s">
        <v>376</v>
      </c>
      <c r="C38" t="s">
        <v>376</v>
      </c>
      <c r="D38" t="s">
        <v>418</v>
      </c>
      <c r="E38" t="s">
        <v>461</v>
      </c>
    </row>
    <row r="39" spans="1:5">
      <c r="A39" t="s">
        <v>329</v>
      </c>
      <c r="B39" t="s">
        <v>377</v>
      </c>
      <c r="C39" t="s">
        <v>390</v>
      </c>
      <c r="D39" t="s">
        <v>145</v>
      </c>
      <c r="E39" t="s">
        <v>462</v>
      </c>
    </row>
    <row r="40" spans="1:5">
      <c r="A40" t="s">
        <v>330</v>
      </c>
      <c r="B40" t="s">
        <v>378</v>
      </c>
      <c r="C40" t="s">
        <v>391</v>
      </c>
      <c r="D40" t="s">
        <v>145</v>
      </c>
      <c r="E40" t="s">
        <v>463</v>
      </c>
    </row>
    <row r="41" spans="1:5">
      <c r="A41" t="s">
        <v>331</v>
      </c>
      <c r="B41" t="s">
        <v>379</v>
      </c>
      <c r="C41" t="s">
        <v>392</v>
      </c>
      <c r="D41" t="s">
        <v>145</v>
      </c>
      <c r="E41" t="s">
        <v>464</v>
      </c>
    </row>
    <row r="42" spans="1:5">
      <c r="A42" t="s">
        <v>332</v>
      </c>
      <c r="B42" t="s">
        <v>380</v>
      </c>
      <c r="C42" t="s">
        <v>393</v>
      </c>
      <c r="D42" t="s">
        <v>145</v>
      </c>
      <c r="E42" t="s">
        <v>465</v>
      </c>
    </row>
    <row r="43" spans="1:5">
      <c r="A43" t="s">
        <v>333</v>
      </c>
      <c r="B43" t="s">
        <v>381</v>
      </c>
      <c r="C43" t="s">
        <v>394</v>
      </c>
      <c r="D43" t="s">
        <v>145</v>
      </c>
      <c r="E43" t="s">
        <v>466</v>
      </c>
    </row>
    <row r="45" spans="1:5">
      <c r="A45" t="s">
        <v>334</v>
      </c>
    </row>
    <row r="47" spans="1:5">
      <c r="A47" t="s">
        <v>335</v>
      </c>
    </row>
    <row r="48" spans="1:5">
      <c r="A48" t="s">
        <v>49</v>
      </c>
      <c r="B48" t="s">
        <v>58</v>
      </c>
      <c r="C48" t="s">
        <v>395</v>
      </c>
    </row>
    <row r="49" spans="1:4">
      <c r="A49" t="s">
        <v>336</v>
      </c>
      <c r="B49" t="s">
        <v>58</v>
      </c>
      <c r="C49" t="s">
        <v>396</v>
      </c>
      <c r="D49" t="s">
        <v>419</v>
      </c>
    </row>
    <row r="50" spans="1:4">
      <c r="A50" t="s">
        <v>14</v>
      </c>
      <c r="B50" t="s">
        <v>58</v>
      </c>
      <c r="C50" t="s">
        <v>397</v>
      </c>
      <c r="D50" t="s">
        <v>420</v>
      </c>
    </row>
    <row r="51" spans="1:4">
      <c r="A51" t="s">
        <v>337</v>
      </c>
      <c r="B51" t="s">
        <v>58</v>
      </c>
      <c r="C51" t="s">
        <v>271</v>
      </c>
      <c r="D51" t="s">
        <v>421</v>
      </c>
    </row>
    <row r="52" spans="1:4">
      <c r="A52" t="s">
        <v>338</v>
      </c>
      <c r="B52" t="s">
        <v>58</v>
      </c>
      <c r="C52" t="s">
        <v>398</v>
      </c>
      <c r="D52" t="s">
        <v>422</v>
      </c>
    </row>
    <row r="54" spans="1:4">
      <c r="A54" t="s">
        <v>339</v>
      </c>
      <c r="B54" t="s">
        <v>58</v>
      </c>
    </row>
    <row r="55" spans="1:4">
      <c r="A55" t="s">
        <v>24</v>
      </c>
      <c r="B55" t="s">
        <v>58</v>
      </c>
      <c r="C55" t="s">
        <v>395</v>
      </c>
    </row>
    <row r="56" spans="1:4">
      <c r="A56" t="s">
        <v>301</v>
      </c>
      <c r="B56" t="s">
        <v>58</v>
      </c>
      <c r="C56" t="s">
        <v>398</v>
      </c>
      <c r="D56" t="s">
        <v>423</v>
      </c>
    </row>
    <row r="57" spans="1:4">
      <c r="A57" t="s">
        <v>35</v>
      </c>
      <c r="B57" t="s">
        <v>58</v>
      </c>
      <c r="C57" t="s">
        <v>399</v>
      </c>
      <c r="D57" t="s">
        <v>424</v>
      </c>
    </row>
    <row r="58" spans="1:4">
      <c r="A58" t="s">
        <v>340</v>
      </c>
      <c r="B58" t="s">
        <v>58</v>
      </c>
      <c r="C58" t="s">
        <v>60</v>
      </c>
      <c r="D58" t="s">
        <v>425</v>
      </c>
    </row>
    <row r="59" spans="1:4">
      <c r="A59" t="s">
        <v>341</v>
      </c>
      <c r="B59" t="s">
        <v>58</v>
      </c>
      <c r="C59" t="s">
        <v>60</v>
      </c>
    </row>
    <row r="60" spans="1:4">
      <c r="A60" t="s">
        <v>342</v>
      </c>
      <c r="B60" t="s">
        <v>58</v>
      </c>
      <c r="C60" t="s">
        <v>60</v>
      </c>
    </row>
    <row r="62" spans="1:4">
      <c r="A62" t="s">
        <v>343</v>
      </c>
      <c r="B62" t="s">
        <v>58</v>
      </c>
    </row>
    <row r="63" spans="1:4">
      <c r="A63" t="s">
        <v>24</v>
      </c>
      <c r="B63" t="s">
        <v>58</v>
      </c>
      <c r="C63" t="s">
        <v>395</v>
      </c>
    </row>
    <row r="64" spans="1:4">
      <c r="A64" t="s">
        <v>302</v>
      </c>
      <c r="B64" t="s">
        <v>58</v>
      </c>
      <c r="C64" t="s">
        <v>61</v>
      </c>
    </row>
    <row r="65" spans="1:4">
      <c r="A65" t="s">
        <v>35</v>
      </c>
      <c r="B65" t="s">
        <v>58</v>
      </c>
      <c r="C65" t="s">
        <v>400</v>
      </c>
    </row>
    <row r="66" spans="1:4">
      <c r="A66" t="s">
        <v>340</v>
      </c>
      <c r="B66" t="s">
        <v>58</v>
      </c>
      <c r="C66" t="s">
        <v>401</v>
      </c>
      <c r="D66" t="s">
        <v>426</v>
      </c>
    </row>
    <row r="67" spans="1:4">
      <c r="A67" t="s">
        <v>341</v>
      </c>
      <c r="B67" t="s">
        <v>58</v>
      </c>
      <c r="C67" t="s">
        <v>402</v>
      </c>
      <c r="D67" t="s">
        <v>427</v>
      </c>
    </row>
    <row r="68" spans="1:4">
      <c r="A68" t="s">
        <v>342</v>
      </c>
      <c r="B68" t="s">
        <v>58</v>
      </c>
      <c r="C68" t="s">
        <v>403</v>
      </c>
    </row>
    <row r="70" spans="1:4">
      <c r="A70" t="s">
        <v>344</v>
      </c>
    </row>
    <row r="71" spans="1:4">
      <c r="A71" t="s">
        <v>345</v>
      </c>
      <c r="B71" t="s">
        <v>58</v>
      </c>
      <c r="C71" t="s">
        <v>60</v>
      </c>
    </row>
    <row r="72" spans="1:4">
      <c r="A72" t="s">
        <v>346</v>
      </c>
      <c r="B72" t="s">
        <v>58</v>
      </c>
      <c r="C72" t="s">
        <v>403</v>
      </c>
    </row>
    <row r="73" spans="1:4">
      <c r="A73" t="s">
        <v>347</v>
      </c>
      <c r="B73" t="s">
        <v>58</v>
      </c>
      <c r="C73" t="s">
        <v>403</v>
      </c>
      <c r="D73" t="s">
        <v>428</v>
      </c>
    </row>
    <row r="75" spans="1:4">
      <c r="A75" t="s">
        <v>348</v>
      </c>
    </row>
    <row r="76" spans="1:4">
      <c r="A76" t="s">
        <v>49</v>
      </c>
      <c r="B76" t="s">
        <v>58</v>
      </c>
      <c r="C76" t="s">
        <v>404</v>
      </c>
    </row>
    <row r="77" spans="1:4">
      <c r="A77" t="s">
        <v>349</v>
      </c>
      <c r="B77" t="s">
        <v>58</v>
      </c>
      <c r="C77" t="s">
        <v>396</v>
      </c>
      <c r="D77" t="s">
        <v>429</v>
      </c>
    </row>
    <row r="78" spans="1:4">
      <c r="A78" t="s">
        <v>14</v>
      </c>
      <c r="B78" t="s">
        <v>58</v>
      </c>
      <c r="C78" t="s">
        <v>401</v>
      </c>
      <c r="D78" t="s">
        <v>420</v>
      </c>
    </row>
    <row r="79" spans="1:4">
      <c r="A79" t="s">
        <v>350</v>
      </c>
      <c r="B79" t="s">
        <v>58</v>
      </c>
      <c r="C79" t="s">
        <v>61</v>
      </c>
      <c r="D79" t="s">
        <v>430</v>
      </c>
    </row>
    <row r="81" spans="1:4">
      <c r="A81" t="s">
        <v>339</v>
      </c>
      <c r="B81" t="s">
        <v>58</v>
      </c>
    </row>
    <row r="82" spans="1:4">
      <c r="A82" t="s">
        <v>24</v>
      </c>
      <c r="B82" t="s">
        <v>58</v>
      </c>
      <c r="C82" t="s">
        <v>404</v>
      </c>
    </row>
    <row r="83" spans="1:4">
      <c r="A83" t="s">
        <v>351</v>
      </c>
      <c r="B83" t="s">
        <v>58</v>
      </c>
      <c r="C83" t="s">
        <v>405</v>
      </c>
      <c r="D83" t="s">
        <v>431</v>
      </c>
    </row>
    <row r="84" spans="1:4">
      <c r="A84" t="s">
        <v>35</v>
      </c>
      <c r="B84" t="s">
        <v>58</v>
      </c>
      <c r="C84" t="s">
        <v>406</v>
      </c>
    </row>
    <row r="85" spans="1:4">
      <c r="A85" t="s">
        <v>340</v>
      </c>
      <c r="B85" t="s">
        <v>58</v>
      </c>
      <c r="C85" t="s">
        <v>407</v>
      </c>
      <c r="D85" t="s">
        <v>432</v>
      </c>
    </row>
    <row r="86" spans="1:4">
      <c r="A86" t="s">
        <v>341</v>
      </c>
      <c r="B86" t="s">
        <v>58</v>
      </c>
      <c r="C86" t="s">
        <v>408</v>
      </c>
      <c r="D86" t="s">
        <v>427</v>
      </c>
    </row>
    <row r="87" spans="1:4">
      <c r="A87" t="s">
        <v>342</v>
      </c>
      <c r="B87" t="s">
        <v>58</v>
      </c>
      <c r="C87" t="s">
        <v>409</v>
      </c>
    </row>
    <row r="89" spans="1:4">
      <c r="A89" t="s">
        <v>343</v>
      </c>
      <c r="B89" t="s">
        <v>58</v>
      </c>
    </row>
    <row r="90" spans="1:4">
      <c r="A90" t="s">
        <v>24</v>
      </c>
      <c r="B90" t="s">
        <v>58</v>
      </c>
      <c r="C90" t="s">
        <v>404</v>
      </c>
    </row>
    <row r="91" spans="1:4">
      <c r="A91" t="s">
        <v>302</v>
      </c>
      <c r="B91" t="s">
        <v>58</v>
      </c>
      <c r="C91" t="s">
        <v>61</v>
      </c>
      <c r="D91" t="s">
        <v>433</v>
      </c>
    </row>
    <row r="92" spans="1:4">
      <c r="A92" t="s">
        <v>35</v>
      </c>
      <c r="B92" t="s">
        <v>58</v>
      </c>
      <c r="C92" t="s">
        <v>410</v>
      </c>
    </row>
    <row r="93" spans="1:4">
      <c r="A93" t="s">
        <v>340</v>
      </c>
      <c r="B93" t="s">
        <v>58</v>
      </c>
      <c r="C93" t="s">
        <v>411</v>
      </c>
      <c r="D93" t="s">
        <v>434</v>
      </c>
    </row>
    <row r="94" spans="1:4">
      <c r="A94" t="s">
        <v>341</v>
      </c>
      <c r="B94" t="s">
        <v>58</v>
      </c>
      <c r="C94" t="s">
        <v>412</v>
      </c>
      <c r="D94" t="s">
        <v>427</v>
      </c>
    </row>
    <row r="95" spans="1:4">
      <c r="A95" t="s">
        <v>342</v>
      </c>
      <c r="B95" t="s">
        <v>58</v>
      </c>
      <c r="C95" t="s">
        <v>413</v>
      </c>
    </row>
    <row r="97" spans="1:4">
      <c r="A97" t="s">
        <v>344</v>
      </c>
    </row>
    <row r="98" spans="1:4">
      <c r="A98" t="s">
        <v>345</v>
      </c>
      <c r="B98" t="s">
        <v>58</v>
      </c>
      <c r="C98" t="s">
        <v>409</v>
      </c>
    </row>
    <row r="99" spans="1:4">
      <c r="A99" t="s">
        <v>346</v>
      </c>
      <c r="B99" t="s">
        <v>58</v>
      </c>
      <c r="C99" t="s">
        <v>413</v>
      </c>
    </row>
    <row r="100" spans="1:4">
      <c r="A100" t="s">
        <v>347</v>
      </c>
      <c r="B100" t="s">
        <v>58</v>
      </c>
      <c r="C100" t="s">
        <v>414</v>
      </c>
      <c r="D100" t="s">
        <v>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FormatPr defaultRowHeight="15"/>
  <cols>
    <col min="1" max="2" width="50.7109375" customWidth="1"/>
    <col min="3" max="3" width="36.7109375" customWidth="1"/>
    <col min="4" max="5" width="35.7109375" customWidth="1"/>
  </cols>
  <sheetData>
    <row r="1" spans="1:5">
      <c r="A1" t="s">
        <v>631</v>
      </c>
    </row>
    <row r="3" spans="1:5">
      <c r="A3" t="s">
        <v>468</v>
      </c>
      <c r="B3" t="s">
        <v>518</v>
      </c>
    </row>
    <row r="4" spans="1:5">
      <c r="B4" t="s">
        <v>519</v>
      </c>
    </row>
    <row r="6" spans="1:5">
      <c r="A6" t="s">
        <v>469</v>
      </c>
    </row>
    <row r="8" spans="1:5">
      <c r="A8" t="s">
        <v>470</v>
      </c>
    </row>
    <row r="9" spans="1:5">
      <c r="A9" t="s">
        <v>471</v>
      </c>
      <c r="B9" t="s">
        <v>520</v>
      </c>
      <c r="C9" t="s">
        <v>547</v>
      </c>
      <c r="D9" t="s">
        <v>568</v>
      </c>
      <c r="E9" t="s">
        <v>604</v>
      </c>
    </row>
    <row r="10" spans="1:5">
      <c r="A10" t="s">
        <v>472</v>
      </c>
      <c r="B10" t="s">
        <v>521</v>
      </c>
      <c r="C10" t="s">
        <v>548</v>
      </c>
      <c r="D10" t="s">
        <v>569</v>
      </c>
      <c r="E10" t="s">
        <v>605</v>
      </c>
    </row>
    <row r="11" spans="1:5">
      <c r="A11" t="s">
        <v>473</v>
      </c>
      <c r="B11" t="s">
        <v>522</v>
      </c>
      <c r="C11" t="s">
        <v>548</v>
      </c>
      <c r="D11" t="s">
        <v>570</v>
      </c>
      <c r="E11" t="s">
        <v>606</v>
      </c>
    </row>
    <row r="12" spans="1:5">
      <c r="A12" t="s">
        <v>474</v>
      </c>
      <c r="B12" t="s">
        <v>523</v>
      </c>
      <c r="C12" t="s">
        <v>549</v>
      </c>
      <c r="D12" t="s">
        <v>571</v>
      </c>
      <c r="E12" t="s">
        <v>607</v>
      </c>
    </row>
    <row r="13" spans="1:5">
      <c r="A13" t="s">
        <v>475</v>
      </c>
      <c r="B13" t="s">
        <v>524</v>
      </c>
      <c r="C13" t="s">
        <v>159</v>
      </c>
      <c r="D13" t="s">
        <v>572</v>
      </c>
      <c r="E13" t="s">
        <v>608</v>
      </c>
    </row>
    <row r="14" spans="1:5">
      <c r="A14" t="s">
        <v>476</v>
      </c>
      <c r="B14" t="s">
        <v>525</v>
      </c>
      <c r="C14" t="s">
        <v>548</v>
      </c>
      <c r="D14" t="s">
        <v>573</v>
      </c>
      <c r="E14" t="s">
        <v>609</v>
      </c>
    </row>
    <row r="15" spans="1:5">
      <c r="A15" t="s">
        <v>477</v>
      </c>
      <c r="B15" t="s">
        <v>526</v>
      </c>
      <c r="C15" t="s">
        <v>548</v>
      </c>
      <c r="D15" t="s">
        <v>574</v>
      </c>
      <c r="E15" t="s">
        <v>610</v>
      </c>
    </row>
    <row r="16" spans="1:5">
      <c r="A16" t="s">
        <v>478</v>
      </c>
      <c r="B16" t="s">
        <v>527</v>
      </c>
      <c r="C16" t="s">
        <v>548</v>
      </c>
      <c r="D16" t="s">
        <v>575</v>
      </c>
      <c r="E16" t="s">
        <v>611</v>
      </c>
    </row>
    <row r="17" spans="1:5">
      <c r="A17" t="s">
        <v>479</v>
      </c>
      <c r="B17" t="s">
        <v>528</v>
      </c>
      <c r="C17" t="s">
        <v>550</v>
      </c>
      <c r="D17" t="s">
        <v>576</v>
      </c>
      <c r="E17" t="s">
        <v>612</v>
      </c>
    </row>
    <row r="19" spans="1:5">
      <c r="A19" t="s">
        <v>480</v>
      </c>
    </row>
    <row r="20" spans="1:5">
      <c r="A20" t="s">
        <v>471</v>
      </c>
      <c r="B20" t="s">
        <v>181</v>
      </c>
      <c r="C20" t="s">
        <v>547</v>
      </c>
      <c r="D20" t="s">
        <v>577</v>
      </c>
      <c r="E20" t="s">
        <v>613</v>
      </c>
    </row>
    <row r="21" spans="1:5">
      <c r="A21" t="s">
        <v>481</v>
      </c>
      <c r="B21" t="s">
        <v>529</v>
      </c>
      <c r="C21" t="s">
        <v>551</v>
      </c>
      <c r="D21" t="s">
        <v>578</v>
      </c>
      <c r="E21" t="s">
        <v>209</v>
      </c>
    </row>
    <row r="22" spans="1:5">
      <c r="A22" t="s">
        <v>482</v>
      </c>
      <c r="B22" t="s">
        <v>529</v>
      </c>
      <c r="C22" t="s">
        <v>551</v>
      </c>
      <c r="D22" t="s">
        <v>579</v>
      </c>
      <c r="E22" t="s">
        <v>614</v>
      </c>
    </row>
    <row r="23" spans="1:5">
      <c r="A23" t="s">
        <v>483</v>
      </c>
      <c r="B23" t="s">
        <v>530</v>
      </c>
      <c r="C23" t="s">
        <v>146</v>
      </c>
      <c r="D23" t="s">
        <v>580</v>
      </c>
      <c r="E23" t="s">
        <v>615</v>
      </c>
    </row>
    <row r="24" spans="1:5">
      <c r="A24" t="s">
        <v>484</v>
      </c>
      <c r="B24" t="s">
        <v>531</v>
      </c>
      <c r="C24" t="s">
        <v>552</v>
      </c>
      <c r="D24" t="s">
        <v>581</v>
      </c>
      <c r="E24" t="s">
        <v>616</v>
      </c>
    </row>
    <row r="25" spans="1:5">
      <c r="A25" t="s">
        <v>485</v>
      </c>
      <c r="B25" t="s">
        <v>532</v>
      </c>
      <c r="C25" t="s">
        <v>553</v>
      </c>
      <c r="D25" t="s">
        <v>582</v>
      </c>
      <c r="E25" t="s">
        <v>617</v>
      </c>
    </row>
    <row r="27" spans="1:5">
      <c r="A27" t="s">
        <v>486</v>
      </c>
    </row>
    <row r="28" spans="1:5">
      <c r="A28" t="s">
        <v>471</v>
      </c>
      <c r="B28" t="s">
        <v>520</v>
      </c>
      <c r="C28" t="s">
        <v>547</v>
      </c>
      <c r="D28" t="s">
        <v>583</v>
      </c>
      <c r="E28" t="s">
        <v>613</v>
      </c>
    </row>
    <row r="29" spans="1:5">
      <c r="A29" t="s">
        <v>113</v>
      </c>
      <c r="B29" t="s">
        <v>533</v>
      </c>
      <c r="C29" t="s">
        <v>554</v>
      </c>
      <c r="D29" t="s">
        <v>584</v>
      </c>
      <c r="E29" t="s">
        <v>618</v>
      </c>
    </row>
    <row r="30" spans="1:5">
      <c r="A30" t="s">
        <v>487</v>
      </c>
      <c r="B30" t="s">
        <v>534</v>
      </c>
      <c r="C30" t="s">
        <v>555</v>
      </c>
      <c r="D30" t="s">
        <v>585</v>
      </c>
      <c r="E30" t="s">
        <v>619</v>
      </c>
    </row>
    <row r="31" spans="1:5">
      <c r="A31" t="s">
        <v>488</v>
      </c>
      <c r="B31" t="s">
        <v>535</v>
      </c>
      <c r="C31" t="s">
        <v>73</v>
      </c>
      <c r="D31" t="s">
        <v>586</v>
      </c>
      <c r="E31" t="s">
        <v>620</v>
      </c>
    </row>
    <row r="33" spans="1:5">
      <c r="A33" t="s">
        <v>489</v>
      </c>
    </row>
    <row r="34" spans="1:5">
      <c r="A34" t="s">
        <v>471</v>
      </c>
      <c r="B34" t="s">
        <v>520</v>
      </c>
      <c r="C34" t="s">
        <v>547</v>
      </c>
      <c r="D34" t="s">
        <v>587</v>
      </c>
      <c r="E34" t="s">
        <v>613</v>
      </c>
    </row>
    <row r="35" spans="1:5">
      <c r="A35" t="s">
        <v>114</v>
      </c>
      <c r="B35" t="s">
        <v>536</v>
      </c>
      <c r="C35" t="s">
        <v>164</v>
      </c>
      <c r="D35" t="s">
        <v>588</v>
      </c>
      <c r="E35" t="s">
        <v>209</v>
      </c>
    </row>
    <row r="36" spans="1:5">
      <c r="A36" t="s">
        <v>490</v>
      </c>
      <c r="B36" t="s">
        <v>537</v>
      </c>
      <c r="C36" t="s">
        <v>164</v>
      </c>
      <c r="D36" t="s">
        <v>589</v>
      </c>
      <c r="E36" t="s">
        <v>621</v>
      </c>
    </row>
    <row r="37" spans="1:5">
      <c r="A37" t="s">
        <v>491</v>
      </c>
      <c r="B37" t="s">
        <v>538</v>
      </c>
      <c r="C37" t="s">
        <v>556</v>
      </c>
      <c r="D37" t="s">
        <v>590</v>
      </c>
      <c r="E37" t="s">
        <v>622</v>
      </c>
    </row>
    <row r="38" spans="1:5">
      <c r="A38" t="s">
        <v>492</v>
      </c>
      <c r="B38" t="s">
        <v>539</v>
      </c>
      <c r="C38" t="s">
        <v>557</v>
      </c>
      <c r="D38" t="s">
        <v>591</v>
      </c>
      <c r="E38" t="s">
        <v>623</v>
      </c>
    </row>
    <row r="40" spans="1:5">
      <c r="A40" t="s">
        <v>493</v>
      </c>
    </row>
    <row r="41" spans="1:5">
      <c r="A41" t="s">
        <v>471</v>
      </c>
      <c r="B41" t="s">
        <v>181</v>
      </c>
      <c r="C41" t="s">
        <v>558</v>
      </c>
      <c r="D41" t="s">
        <v>577</v>
      </c>
      <c r="E41" t="s">
        <v>613</v>
      </c>
    </row>
    <row r="42" spans="1:5">
      <c r="A42" t="s">
        <v>494</v>
      </c>
      <c r="B42" t="s">
        <v>540</v>
      </c>
      <c r="C42" t="s">
        <v>559</v>
      </c>
      <c r="D42" t="s">
        <v>592</v>
      </c>
      <c r="E42" t="s">
        <v>450</v>
      </c>
    </row>
    <row r="43" spans="1:5">
      <c r="A43" t="s">
        <v>495</v>
      </c>
      <c r="B43" t="s">
        <v>541</v>
      </c>
      <c r="C43" t="s">
        <v>559</v>
      </c>
      <c r="D43" t="s">
        <v>593</v>
      </c>
      <c r="E43" t="s">
        <v>624</v>
      </c>
    </row>
    <row r="44" spans="1:5">
      <c r="A44" t="s">
        <v>496</v>
      </c>
      <c r="B44" t="s">
        <v>542</v>
      </c>
      <c r="C44" t="s">
        <v>560</v>
      </c>
      <c r="D44" t="s">
        <v>594</v>
      </c>
      <c r="E44" t="s">
        <v>625</v>
      </c>
    </row>
    <row r="45" spans="1:5">
      <c r="A45" t="s">
        <v>497</v>
      </c>
      <c r="B45" t="s">
        <v>543</v>
      </c>
      <c r="C45" t="s">
        <v>561</v>
      </c>
      <c r="D45" t="s">
        <v>595</v>
      </c>
      <c r="E45" t="s">
        <v>626</v>
      </c>
    </row>
    <row r="47" spans="1:5">
      <c r="A47" t="s">
        <v>498</v>
      </c>
    </row>
    <row r="48" spans="1:5">
      <c r="A48" t="s">
        <v>471</v>
      </c>
      <c r="B48" t="s">
        <v>520</v>
      </c>
      <c r="C48" t="s">
        <v>547</v>
      </c>
      <c r="D48" t="s">
        <v>596</v>
      </c>
      <c r="E48" t="s">
        <v>613</v>
      </c>
    </row>
    <row r="49" spans="1:5">
      <c r="A49" t="s">
        <v>499</v>
      </c>
      <c r="B49" t="s">
        <v>544</v>
      </c>
      <c r="C49" t="s">
        <v>159</v>
      </c>
      <c r="D49" t="s">
        <v>597</v>
      </c>
      <c r="E49" t="s">
        <v>627</v>
      </c>
    </row>
    <row r="51" spans="1:5">
      <c r="A51" t="s">
        <v>500</v>
      </c>
    </row>
    <row r="52" spans="1:5">
      <c r="A52" t="s">
        <v>471</v>
      </c>
      <c r="B52" t="s">
        <v>181</v>
      </c>
      <c r="C52" t="s">
        <v>547</v>
      </c>
      <c r="D52" t="s">
        <v>598</v>
      </c>
      <c r="E52" t="s">
        <v>613</v>
      </c>
    </row>
    <row r="53" spans="1:5">
      <c r="A53" t="s">
        <v>501</v>
      </c>
      <c r="B53" t="s">
        <v>545</v>
      </c>
      <c r="C53" t="s">
        <v>562</v>
      </c>
      <c r="D53" t="s">
        <v>599</v>
      </c>
      <c r="E53" t="s">
        <v>628</v>
      </c>
    </row>
    <row r="54" spans="1:5">
      <c r="A54" t="s">
        <v>502</v>
      </c>
      <c r="B54" t="s">
        <v>546</v>
      </c>
      <c r="C54" t="s">
        <v>563</v>
      </c>
      <c r="D54" t="s">
        <v>600</v>
      </c>
      <c r="E54" t="s">
        <v>629</v>
      </c>
    </row>
    <row r="56" spans="1:5">
      <c r="A56" t="s">
        <v>503</v>
      </c>
    </row>
    <row r="57" spans="1:5">
      <c r="A57" t="s">
        <v>504</v>
      </c>
      <c r="B57" t="s">
        <v>58</v>
      </c>
      <c r="C57" t="s">
        <v>564</v>
      </c>
    </row>
    <row r="59" spans="1:5">
      <c r="A59" t="s">
        <v>505</v>
      </c>
    </row>
    <row r="60" spans="1:5">
      <c r="A60" t="s">
        <v>506</v>
      </c>
      <c r="B60" t="s">
        <v>58</v>
      </c>
      <c r="C60" t="s">
        <v>159</v>
      </c>
      <c r="D60" t="s">
        <v>601</v>
      </c>
    </row>
    <row r="61" spans="1:5">
      <c r="A61" t="s">
        <v>507</v>
      </c>
      <c r="B61" t="s">
        <v>58</v>
      </c>
      <c r="C61" t="s">
        <v>151</v>
      </c>
      <c r="D61" t="s">
        <v>602</v>
      </c>
    </row>
    <row r="62" spans="1:5">
      <c r="A62" t="s">
        <v>508</v>
      </c>
      <c r="B62" t="s">
        <v>58</v>
      </c>
      <c r="C62" t="s">
        <v>551</v>
      </c>
      <c r="D62" t="s">
        <v>420</v>
      </c>
    </row>
    <row r="63" spans="1:5">
      <c r="A63" t="s">
        <v>509</v>
      </c>
      <c r="B63" t="s">
        <v>58</v>
      </c>
      <c r="C63" t="s">
        <v>565</v>
      </c>
      <c r="D63" t="s">
        <v>73</v>
      </c>
    </row>
    <row r="64" spans="1:5">
      <c r="A64" t="s">
        <v>510</v>
      </c>
      <c r="B64" t="s">
        <v>58</v>
      </c>
      <c r="C64" t="s">
        <v>164</v>
      </c>
      <c r="D64" t="s">
        <v>601</v>
      </c>
    </row>
    <row r="65" spans="1:5">
      <c r="A65" t="s">
        <v>511</v>
      </c>
      <c r="B65" t="s">
        <v>58</v>
      </c>
      <c r="C65" t="s">
        <v>146</v>
      </c>
      <c r="D65" t="s">
        <v>603</v>
      </c>
    </row>
    <row r="66" spans="1:5">
      <c r="A66" t="s">
        <v>512</v>
      </c>
      <c r="B66" t="s">
        <v>58</v>
      </c>
      <c r="C66" t="s">
        <v>566</v>
      </c>
    </row>
    <row r="68" spans="1:5">
      <c r="A68" t="s">
        <v>302</v>
      </c>
      <c r="B68" t="s">
        <v>58</v>
      </c>
      <c r="C68" t="s">
        <v>146</v>
      </c>
    </row>
    <row r="69" spans="1:5">
      <c r="A69" t="s">
        <v>513</v>
      </c>
      <c r="B69" t="s">
        <v>58</v>
      </c>
      <c r="C69" t="s">
        <v>567</v>
      </c>
    </row>
    <row r="71" spans="1:5">
      <c r="A71" t="s">
        <v>514</v>
      </c>
    </row>
    <row r="72" spans="1:5">
      <c r="A72" t="s">
        <v>515</v>
      </c>
    </row>
    <row r="73" spans="1:5">
      <c r="A73" t="s">
        <v>516</v>
      </c>
    </row>
    <row r="74" spans="1:5">
      <c r="A74" t="s">
        <v>517</v>
      </c>
      <c r="E74" t="s">
        <v>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Quick Calculator</vt:lpstr>
      <vt:lpstr>Tax Slabs 2025-26</vt:lpstr>
      <vt:lpstr>HRA Calculation</vt:lpstr>
      <vt:lpstr>Regime Comparison</vt:lpstr>
      <vt:lpstr>Deductions Guide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2026-01-02T15:40:52Z</dcterms:created>
  <dcterms:modified xsi:type="dcterms:W3CDTF">2026-01-02T15:40:52Z</dcterms:modified>
</cp:coreProperties>
</file>