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onthly Budget" sheetId="2" r:id="rId2"/>
    <sheet name="Category Guide" sheetId="3" r:id="rId3"/>
    <sheet name="Monthly Tracker" sheetId="4" r:id="rId4"/>
  </sheets>
  <calcPr calcId="124519" fullCalcOnLoad="1"/>
</workbook>
</file>

<file path=xl/sharedStrings.xml><?xml version="1.0" encoding="utf-8"?>
<sst xmlns="http://schemas.openxmlformats.org/spreadsheetml/2006/main" count="471" uniqueCount="308">
  <si>
    <t>YOUR MONTHLY OVERVIEW</t>
  </si>
  <si>
    <t>Total Monthly Income</t>
  </si>
  <si>
    <t>INCOME BREAKDOWN</t>
  </si>
  <si>
    <t>Salary/Primary Income</t>
  </si>
  <si>
    <t>Side Income/Freelance</t>
  </si>
  <si>
    <t>Other Income</t>
  </si>
  <si>
    <t>EXPENSE SUMMARY (50/30/20 Rule)</t>
  </si>
  <si>
    <t>Category</t>
  </si>
  <si>
    <t>NEEDS (Essential)</t>
  </si>
  <si>
    <t>WANTS (Discretionary)</t>
  </si>
  <si>
    <t>SAVINGS (Investments)</t>
  </si>
  <si>
    <t>QUICK INSIGHTS</t>
  </si>
  <si>
    <t>Total Expenses</t>
  </si>
  <si>
    <t>Total Savings Allocated</t>
  </si>
  <si>
    <t>Remaining Unallocated</t>
  </si>
  <si>
    <t>BUDGET HEALTH CHECK</t>
  </si>
  <si>
    <t>Are you within 50% for Needs?</t>
  </si>
  <si>
    <t>Are you within 30% for Wants?</t>
  </si>
  <si>
    <t>Are you saving 20%?</t>
  </si>
  <si>
    <t>Overall Balance</t>
  </si>
  <si>
    <t>₹</t>
  </si>
  <si>
    <t>Amount (₹)</t>
  </si>
  <si>
    <t>% of Income</t>
  </si>
  <si>
    <t>Target %</t>
  </si>
  <si>
    <t>50%</t>
  </si>
  <si>
    <t>30%</t>
  </si>
  <si>
    <t>20%</t>
  </si>
  <si>
    <t>Status</t>
  </si>
  <si>
    <t>BUDGET PLANNER - VISUAL DASHBOARD</t>
  </si>
  <si>
    <t>MONTHLY INCOME</t>
  </si>
  <si>
    <t>Income Source</t>
  </si>
  <si>
    <t>TOTAL MONTHLY INCOME</t>
  </si>
  <si>
    <t>NEEDS - ESSENTIAL EXPENSES (50% TARGET)</t>
  </si>
  <si>
    <t>Rent/Mortgage</t>
  </si>
  <si>
    <t>Utilities (Electricity, Water, Gas)</t>
  </si>
  <si>
    <t>Groceries &amp; Food (Home)</t>
  </si>
  <si>
    <t>Transportation (Fuel, Public Transit)</t>
  </si>
  <si>
    <t>Insurance (Health, Life, Vehicle)</t>
  </si>
  <si>
    <t>Phone &amp; Internet Bill</t>
  </si>
  <si>
    <t>Medical Expenses</t>
  </si>
  <si>
    <t>Loan EMI (if any)</t>
  </si>
  <si>
    <t>Education Fees</t>
  </si>
  <si>
    <t>Childcare/Dependent Support</t>
  </si>
  <si>
    <t>TOTAL NEEDS</t>
  </si>
  <si>
    <t>WANTS - DISCRETIONARY SPENDING (30% TARGET)</t>
  </si>
  <si>
    <t>Dining Out &amp; Entertainment</t>
  </si>
  <si>
    <t>Movies &amp; Events</t>
  </si>
  <si>
    <t>Subscriptions (Netflix, Apps, etc.)</t>
  </si>
  <si>
    <t>Shopping (Clothes, Accessories)</t>
  </si>
  <si>
    <t>Hobbies &amp; Sports</t>
  </si>
  <si>
    <t>Travel &amp; Vacation</t>
  </si>
  <si>
    <t>Gifts &amp; Celebrations</t>
  </si>
  <si>
    <t>Personal Care (Salon, Gym)</t>
  </si>
  <si>
    <t>Gadgets &amp; Electronics</t>
  </si>
  <si>
    <t>Books, Courses &amp; Learning</t>
  </si>
  <si>
    <t>Pet Care &amp; Supplies</t>
  </si>
  <si>
    <t>Premium/Organic Food</t>
  </si>
  <si>
    <t>TOTAL WANTS</t>
  </si>
  <si>
    <t>SAVINGS &amp; INVESTMENTS (20% TARGET)</t>
  </si>
  <si>
    <t>Emergency Fund</t>
  </si>
  <si>
    <t>Fixed Deposits/Bonds</t>
  </si>
  <si>
    <t>Mutual Funds (SIP)</t>
  </si>
  <si>
    <t>Stocks &amp; Trading</t>
  </si>
  <si>
    <t>Retirement Fund (NPS/401k)</t>
  </si>
  <si>
    <t>Gold/Silver Investments</t>
  </si>
  <si>
    <t>Real Estate Savings</t>
  </si>
  <si>
    <t>TOTAL SAVINGS</t>
  </si>
  <si>
    <t>BUDGET SUMMARY &amp; ANALYSIS</t>
  </si>
  <si>
    <t>Total Expenses (Needs + Wants)</t>
  </si>
  <si>
    <t>Remaining Unallocated Money</t>
  </si>
  <si>
    <t>50/30/20 BUDGET RULE ANALYSIS</t>
  </si>
  <si>
    <t>Needs - Actual Percentage</t>
  </si>
  <si>
    <t>Wants - Actual Percentage</t>
  </si>
  <si>
    <t>Savings - Actual Percentage</t>
  </si>
  <si>
    <t>BUDGET STATUS</t>
  </si>
  <si>
    <t>Budget Balance Status</t>
  </si>
  <si>
    <t>Money Left After All Allocations</t>
  </si>
  <si>
    <t>Description</t>
  </si>
  <si>
    <t>Regular employment income</t>
  </si>
  <si>
    <t>Projects, freelance work, gig income</t>
  </si>
  <si>
    <t>Bonuses, allowances, rental income</t>
  </si>
  <si>
    <t>Monthly rent or mortgage payment</t>
  </si>
  <si>
    <t>Monthly utility bills</t>
  </si>
  <si>
    <t>Weekly/monthly grocery shopping</t>
  </si>
  <si>
    <t>Daily commute costs</t>
  </si>
  <si>
    <t>All insurance premiums</t>
  </si>
  <si>
    <t>Mobile and broadband bills</t>
  </si>
  <si>
    <t>Doctor visits, medicines, tests</t>
  </si>
  <si>
    <t>Car loan, personal loan payments</t>
  </si>
  <si>
    <t>School/college/course fees</t>
  </si>
  <si>
    <t>Child care, elderly support</t>
  </si>
  <si>
    <t>Restaurants, cafes, casual dining</t>
  </si>
  <si>
    <t>Cinema, concerts, shows</t>
  </si>
  <si>
    <t>OTT, music, app subscriptions</t>
  </si>
  <si>
    <t>Apparel and accessories</t>
  </si>
  <si>
    <t>Sports equipment, hobby expenses</t>
  </si>
  <si>
    <t>Holiday, getaways</t>
  </si>
  <si>
    <t>Birthdays, festivals, occasions</t>
  </si>
  <si>
    <t>Salon, gym, spa, beauty</t>
  </si>
  <si>
    <t>Phones, laptops, accessories</t>
  </si>
  <si>
    <t>Books, online courses, workshops</t>
  </si>
  <si>
    <t>Pet food, vet, grooming</t>
  </si>
  <si>
    <t>Imported, organic, premium items</t>
  </si>
  <si>
    <t>Liquid savings for emergencies</t>
  </si>
  <si>
    <t>Bank deposits, bonds</t>
  </si>
  <si>
    <t>Systematic investment plan</t>
  </si>
  <si>
    <t>Direct equity, trading</t>
  </si>
  <si>
    <t>NPS, pension plans</t>
  </si>
  <si>
    <t>Precious metals</t>
  </si>
  <si>
    <t>Property investment fund</t>
  </si>
  <si>
    <t>Currency</t>
  </si>
  <si>
    <t>Amount</t>
  </si>
  <si>
    <t>0</t>
  </si>
  <si>
    <t>Notes</t>
  </si>
  <si>
    <t>Enter your main salary</t>
  </si>
  <si>
    <t>Optional: freelance earnings</t>
  </si>
  <si>
    <t>One-time or recurring</t>
  </si>
  <si>
    <t>Category Type</t>
  </si>
  <si>
    <t>Needs</t>
  </si>
  <si>
    <t>50% Target</t>
  </si>
  <si>
    <t>Wants</t>
  </si>
  <si>
    <t>30% Target</t>
  </si>
  <si>
    <t>Savings</t>
  </si>
  <si>
    <t>20% Target</t>
  </si>
  <si>
    <t>To allocate or emergency buffer</t>
  </si>
  <si>
    <t>Target: 50%</t>
  </si>
  <si>
    <t>Target: 30%</t>
  </si>
  <si>
    <t>Target: 20%</t>
  </si>
  <si>
    <t>Extra buffer for emergencies</t>
  </si>
  <si>
    <t>MONTHLY BUDGET PLANNER - 50/30/20 RULE</t>
  </si>
  <si>
    <t>HOW TO USE THIS BUDGET PLANNER:</t>
  </si>
  <si>
    <t>1. INCOME TAB</t>
  </si>
  <si>
    <t>2. EXPENSES TAB</t>
  </si>
  <si>
    <t>3. AUTOMATIC ANALYSIS</t>
  </si>
  <si>
    <t>4. REVIEW &amp; ADJUST</t>
  </si>
  <si>
    <t>NEEDS (Essential Expenses - 50% Target)</t>
  </si>
  <si>
    <t>Rent/Housing</t>
  </si>
  <si>
    <t>Utilities</t>
  </si>
  <si>
    <t>Groceries</t>
  </si>
  <si>
    <t>Transportation</t>
  </si>
  <si>
    <t>Insurance</t>
  </si>
  <si>
    <t>Phone/Internet</t>
  </si>
  <si>
    <t>Medical</t>
  </si>
  <si>
    <t>Loan EMI</t>
  </si>
  <si>
    <t>Education</t>
  </si>
  <si>
    <t>Dependents</t>
  </si>
  <si>
    <t>WANTS (Discretionary Spending - 30% Target)</t>
  </si>
  <si>
    <t>Dining Out</t>
  </si>
  <si>
    <t>Entertainment</t>
  </si>
  <si>
    <t>Subscriptions</t>
  </si>
  <si>
    <t>Shopping</t>
  </si>
  <si>
    <t>Hobbies</t>
  </si>
  <si>
    <t>Travel/Vacation</t>
  </si>
  <si>
    <t>Gifts</t>
  </si>
  <si>
    <t>Personal Care</t>
  </si>
  <si>
    <t>Gadgets</t>
  </si>
  <si>
    <t>Learning</t>
  </si>
  <si>
    <t>Pet Care</t>
  </si>
  <si>
    <t>Premium Food</t>
  </si>
  <si>
    <t>SAVINGS &amp; INVESTMENTS (20% Target)</t>
  </si>
  <si>
    <t>Fixed Deposits</t>
  </si>
  <si>
    <t>Stocks</t>
  </si>
  <si>
    <t>NPS/Retirement</t>
  </si>
  <si>
    <t>Gold/Silver</t>
  </si>
  <si>
    <t>Real Estate</t>
  </si>
  <si>
    <t>QUICK CALCULATION TIPS</t>
  </si>
  <si>
    <t>Calculate Your 50% Budget</t>
  </si>
  <si>
    <t>Calculate Your 30% Budget</t>
  </si>
  <si>
    <t>Calculate Your 20% Budget</t>
  </si>
  <si>
    <t>Example: ₹1,00,000 Income</t>
  </si>
  <si>
    <t>FOR FOOD ENTREPRENEURS (Your Use Case)</t>
  </si>
  <si>
    <t>Special Category: Business Testing</t>
  </si>
  <si>
    <t>Special Category: Equipment/Setup</t>
  </si>
  <si>
    <t>Special Category: Certification/Licenses</t>
  </si>
  <si>
    <t>PRO TIPS FOR BETTER BUDGETING</t>
  </si>
  <si>
    <t>Tip 1</t>
  </si>
  <si>
    <t>Tip 2</t>
  </si>
  <si>
    <t>Tip 3</t>
  </si>
  <si>
    <t>Tip 4</t>
  </si>
  <si>
    <t>Tip 5</t>
  </si>
  <si>
    <t>Tip 6</t>
  </si>
  <si>
    <t>Tip 7</t>
  </si>
  <si>
    <t>Tip 8</t>
  </si>
  <si>
    <t>Enter your monthly income sources in the Monthly Budget sheet</t>
  </si>
  <si>
    <t>Fill in your expected expenses for each category</t>
  </si>
  <si>
    <t>The Dashboard and Monthly Budget sheets auto-calculate your 50/30/20 analysis</t>
  </si>
  <si>
    <t>Compare actual % with targets. Adjust spending as needed</t>
  </si>
  <si>
    <t>Includes</t>
  </si>
  <si>
    <t>Rent, mortgage, maintenance, property tax</t>
  </si>
  <si>
    <t>Electricity, water, gas, internet, landline</t>
  </si>
  <si>
    <t>Food, spices, household essentials, cleaning</t>
  </si>
  <si>
    <t>Fuel, public transit, car maintenance, parking</t>
  </si>
  <si>
    <t>Health, life, vehicle, property insurance</t>
  </si>
  <si>
    <t>Mobile bills, broadband, landline</t>
  </si>
  <si>
    <t>Doctor visits, medicines, health checkups</t>
  </si>
  <si>
    <t>Car loan, personal loan, student loan</t>
  </si>
  <si>
    <t>School, college, training fees</t>
  </si>
  <si>
    <t>Childcare, elderly care, family support</t>
  </si>
  <si>
    <t>Restaurants, cafes, fast food, delivery</t>
  </si>
  <si>
    <t>Movies, concerts, shows, gaming</t>
  </si>
  <si>
    <t>Netflix, Spotify, apps, memberships</t>
  </si>
  <si>
    <t>Clothes, shoes, accessories, fashion</t>
  </si>
  <si>
    <t>Sports, photography, collections, crafts</t>
  </si>
  <si>
    <t>Holidays, weekend trips, tours</t>
  </si>
  <si>
    <t>Birthdays, festivals, celebrations, presents</t>
  </si>
  <si>
    <t>Salon, gym, spa, beauty treatments</t>
  </si>
  <si>
    <t>Phones, laptops, tech accessories</t>
  </si>
  <si>
    <t>Books, courses, workshops, skills</t>
  </si>
  <si>
    <t>Pet food, vet, toys, grooming</t>
  </si>
  <si>
    <t>Organic, imported, premium groceries</t>
  </si>
  <si>
    <t>Purpose</t>
  </si>
  <si>
    <t>Backup for unexpected expenses (6 months salary)</t>
  </si>
  <si>
    <t>Guaranteed returns, safe savings</t>
  </si>
  <si>
    <t>Regular investments, market growth</t>
  </si>
  <si>
    <t>Direct equity, high growth potential</t>
  </si>
  <si>
    <t>Long-term retirement corpus</t>
  </si>
  <si>
    <t>Inflation hedge, safe investment</t>
  </si>
  <si>
    <t>Property investment, long-term wealth</t>
  </si>
  <si>
    <t>Monthly Income × 0.50 = Max for Needs</t>
  </si>
  <si>
    <t>Monthly Income × 0.30 = Max for Wants</t>
  </si>
  <si>
    <t>Monthly Income × 0.20 = Min for Savings</t>
  </si>
  <si>
    <t>Needs: ₹50,000 | Wants: ₹30,000 | Savings: ₹20,000</t>
  </si>
  <si>
    <t>Small batches, recipe experiments</t>
  </si>
  <si>
    <t>Small kitchen tools, packaging</t>
  </si>
  <si>
    <t>Food license, health certificate</t>
  </si>
  <si>
    <t>Track every expense for 1 month to understand your actual spending</t>
  </si>
  <si>
    <t>Review budget weekly, adjust monthly categories based on reality</t>
  </si>
  <si>
    <t>Use zero-based budgeting: allocate every rupee intentionally</t>
  </si>
  <si>
    <t>Separate wants from needs ruthlessly - be honest with yourself</t>
  </si>
  <si>
    <t>Automate savings first (set &amp; forget), spend remaining balance</t>
  </si>
  <si>
    <t>During business planning, track business expenses separately</t>
  </si>
  <si>
    <t>Seasonal adjustments: wedding season, festival spending, summer</t>
  </si>
  <si>
    <t>Review 50/30/20 quarterly and adjust as income grows</t>
  </si>
  <si>
    <t>Monthly Range (Example)</t>
  </si>
  <si>
    <t>₹10,000 - ₹50,000</t>
  </si>
  <si>
    <t>₹2,000 - ₹8,000</t>
  </si>
  <si>
    <t>₹3,000 - ₹10,000</t>
  </si>
  <si>
    <t>₹2,000 - ₹15,000</t>
  </si>
  <si>
    <t>₹2,000 - ₹12,000</t>
  </si>
  <si>
    <t>₹500 - ₹3,000</t>
  </si>
  <si>
    <t>₹1,000 - ₹5,000</t>
  </si>
  <si>
    <t>₹5,000 - ₹50,000</t>
  </si>
  <si>
    <t>₹2,000 - ₹20,000</t>
  </si>
  <si>
    <t>₹3,000 - ₹25,000</t>
  </si>
  <si>
    <t>₹2,000 - ₹10,000</t>
  </si>
  <si>
    <t>₹1,000 - ₹10,000</t>
  </si>
  <si>
    <t>₹5,000 - ₹30,000</t>
  </si>
  <si>
    <t>₹0 - ₹50,000</t>
  </si>
  <si>
    <t>₹500 - ₹5,000</t>
  </si>
  <si>
    <t>₹1,000 - ₹8,000</t>
  </si>
  <si>
    <t>Time Horizon</t>
  </si>
  <si>
    <t>Always accessible</t>
  </si>
  <si>
    <t>1-3 years</t>
  </si>
  <si>
    <t>3-7 years</t>
  </si>
  <si>
    <t>5+ years</t>
  </si>
  <si>
    <t>20-30 years</t>
  </si>
  <si>
    <t>5-10 years</t>
  </si>
  <si>
    <t>10+ years</t>
  </si>
  <si>
    <t>Tips</t>
  </si>
  <si>
    <t>Usually your largest expense</t>
  </si>
  <si>
    <t>Track usage to reduce bills</t>
  </si>
  <si>
    <t>Plan meals, buy bulk smartly</t>
  </si>
  <si>
    <t>Calculate commute costs</t>
  </si>
  <si>
    <t>Essential protection layer</t>
  </si>
  <si>
    <t>Shop for better plans</t>
  </si>
  <si>
    <t>Preventive care saves costs</t>
  </si>
  <si>
    <t>Fixed obligation</t>
  </si>
  <si>
    <t>Essential for growth</t>
  </si>
  <si>
    <t>Calculate all care costs</t>
  </si>
  <si>
    <t>Set limits, track spending</t>
  </si>
  <si>
    <t>Plan outings in advance</t>
  </si>
  <si>
    <t>Cancel unused subscriptions</t>
  </si>
  <si>
    <t>Use wish list, wait before buying</t>
  </si>
  <si>
    <t>Budget per hobby</t>
  </si>
  <si>
    <t>Plan quarterly or annual</t>
  </si>
  <si>
    <t>Set occasion budgets</t>
  </si>
  <si>
    <t>Monthly wellness spending</t>
  </si>
  <si>
    <t>One-time purchases</t>
  </si>
  <si>
    <t>Invest in yourself</t>
  </si>
  <si>
    <t>Budget pet healthcare</t>
  </si>
  <si>
    <t>Quality vs. bulk trade-off</t>
  </si>
  <si>
    <t>Risk Level</t>
  </si>
  <si>
    <t>Very Low</t>
  </si>
  <si>
    <t>Low-Medium</t>
  </si>
  <si>
    <t>High</t>
  </si>
  <si>
    <t>Low</t>
  </si>
  <si>
    <t>Part of business R&amp;D</t>
  </si>
  <si>
    <t>One-time or monthly</t>
  </si>
  <si>
    <t>Annual expenses</t>
  </si>
  <si>
    <t>Keep in savings account</t>
  </si>
  <si>
    <t>Shop for best rates</t>
  </si>
  <si>
    <t>Automate via SIP</t>
  </si>
  <si>
    <t>Research before investing</t>
  </si>
  <si>
    <t>Tax benefits available</t>
  </si>
  <si>
    <t>Buy during dips</t>
  </si>
  <si>
    <t>Major capital investment</t>
  </si>
  <si>
    <t>BUDGET CATEGORY REFERENCE &amp; SPENDING GUIDE</t>
  </si>
  <si>
    <t>Instructions: Enter each transaction as you spend. System auto-calculates totals.</t>
  </si>
  <si>
    <t>DAILY TRANSACTION LOG</t>
  </si>
  <si>
    <t>Date (DD-MM-YYYY)</t>
  </si>
  <si>
    <t>2026-01-02</t>
  </si>
  <si>
    <t>MONTHLY SUMMARY BY CATEGORY</t>
  </si>
  <si>
    <t>Total Amount (₹)</t>
  </si>
  <si>
    <t>Category Name</t>
  </si>
  <si>
    <t>0%</t>
  </si>
  <si>
    <t>Budget Target %</t>
  </si>
  <si>
    <t>Notes/Description</t>
  </si>
  <si>
    <t>DAILY EXPENSE TRACKER - Track actual spending daily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</si>
</sst>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35.7109375" customWidth="1"/>
    <col min="2" max="2" width="23.7109375" customWidth="1"/>
    <col min="3" max="3" width="50.7109375" customWidth="1"/>
    <col min="4" max="4" width="10.7109375" customWidth="1"/>
    <col min="5" max="5" width="46.7109375" customWidth="1"/>
  </cols>
  <sheetData>
    <row r="1" spans="1:5">
      <c r="A1" t="s">
        <v>28</v>
      </c>
    </row>
    <row r="3" spans="1:5">
      <c r="A3" t="s">
        <v>0</v>
      </c>
    </row>
    <row r="4" spans="1:5">
      <c r="A4" t="s">
        <v>1</v>
      </c>
      <c r="B4" t="s">
        <v>20</v>
      </c>
      <c r="C4">
        <f>SUM('Monthly Budget'!D5:D7)</f>
        <v>0</v>
      </c>
    </row>
    <row r="6" spans="1:5">
      <c r="A6" t="s">
        <v>2</v>
      </c>
    </row>
    <row r="7" spans="1:5">
      <c r="A7" t="s">
        <v>3</v>
      </c>
      <c r="B7" t="s">
        <v>20</v>
      </c>
      <c r="C7">
        <f>'Monthly Budget'!D5</f>
        <v>0</v>
      </c>
    </row>
    <row r="8" spans="1:5">
      <c r="A8" t="s">
        <v>4</v>
      </c>
      <c r="B8" t="s">
        <v>20</v>
      </c>
      <c r="C8">
        <f>'Monthly Budget'!D6</f>
        <v>0</v>
      </c>
    </row>
    <row r="9" spans="1:5">
      <c r="A9" t="s">
        <v>5</v>
      </c>
      <c r="B9" t="s">
        <v>20</v>
      </c>
      <c r="C9">
        <f>'Monthly Budget'!D7</f>
        <v>0</v>
      </c>
    </row>
    <row r="11" spans="1:5">
      <c r="A11" t="s">
        <v>6</v>
      </c>
    </row>
    <row r="12" spans="1:5">
      <c r="A12" t="s">
        <v>7</v>
      </c>
      <c r="B12" t="s">
        <v>21</v>
      </c>
      <c r="C12" t="s">
        <v>22</v>
      </c>
      <c r="D12" t="s">
        <v>23</v>
      </c>
      <c r="E12" t="s">
        <v>27</v>
      </c>
    </row>
    <row r="13" spans="1:5">
      <c r="A13" t="s">
        <v>8</v>
      </c>
      <c r="B13">
        <f>'Monthly Budget'!D24</f>
        <v>0</v>
      </c>
      <c r="C13">
        <f>'Monthly Budget'!D57</f>
        <v>0</v>
      </c>
      <c r="D13" t="s">
        <v>24</v>
      </c>
      <c r="E13">
        <f>IF(D13&lt;=0.50,"✓ On Target","⚠ Over")</f>
        <v>0</v>
      </c>
    </row>
    <row r="14" spans="1:5">
      <c r="A14" t="s">
        <v>9</v>
      </c>
      <c r="B14">
        <f>'Monthly Budget'!D39</f>
        <v>0</v>
      </c>
      <c r="C14">
        <f>'Monthly Budget'!D58</f>
        <v>0</v>
      </c>
      <c r="D14" t="s">
        <v>25</v>
      </c>
      <c r="E14">
        <f>IF(D14&lt;=0.30,"✓ On Target","⚠ Over")</f>
        <v>0</v>
      </c>
    </row>
    <row r="15" spans="1:5">
      <c r="A15" t="s">
        <v>10</v>
      </c>
      <c r="B15">
        <f>'Monthly Budget'!D49</f>
        <v>0</v>
      </c>
      <c r="C15">
        <f>'Monthly Budget'!D59</f>
        <v>0</v>
      </c>
      <c r="D15" t="s">
        <v>26</v>
      </c>
      <c r="E15">
        <f>IF(D15&gt;=0.20,"✓ On Track","⚠ Below Target")</f>
        <v>0</v>
      </c>
    </row>
    <row r="17" spans="1:3">
      <c r="A17" t="s">
        <v>11</v>
      </c>
    </row>
    <row r="18" spans="1:3">
      <c r="A18" t="s">
        <v>12</v>
      </c>
      <c r="B18" t="s">
        <v>20</v>
      </c>
      <c r="C18">
        <f>D13+D14</f>
        <v>0</v>
      </c>
    </row>
    <row r="19" spans="1:3">
      <c r="A19" t="s">
        <v>13</v>
      </c>
      <c r="B19" t="s">
        <v>20</v>
      </c>
      <c r="C19">
        <f>D15</f>
        <v>0</v>
      </c>
    </row>
    <row r="20" spans="1:3">
      <c r="A20" t="s">
        <v>14</v>
      </c>
      <c r="B20" t="s">
        <v>20</v>
      </c>
      <c r="C20">
        <f>D4-D18-D19</f>
        <v>0</v>
      </c>
    </row>
    <row r="22" spans="1:3">
      <c r="A22" t="s">
        <v>15</v>
      </c>
    </row>
    <row r="23" spans="1:3">
      <c r="A23" t="s">
        <v>16</v>
      </c>
      <c r="C23">
        <f>IF(D13&lt;=0.50,"✓ YES","✗ NO")</f>
        <v>0</v>
      </c>
    </row>
    <row r="24" spans="1:3">
      <c r="A24" t="s">
        <v>17</v>
      </c>
      <c r="C24">
        <f>IF(D14&lt;=0.30,"✓ YES","✗ NO")</f>
        <v>0</v>
      </c>
    </row>
    <row r="25" spans="1:3">
      <c r="A25" t="s">
        <v>18</v>
      </c>
      <c r="C25">
        <f>IF(D15&gt;=0.20,"✓ YES","✗ NO")</f>
        <v>0</v>
      </c>
    </row>
    <row r="26" spans="1:3">
      <c r="A26" t="s">
        <v>19</v>
      </c>
      <c r="C26">
        <f>IF(AND(D13&lt;=0.50,D14&lt;=0.30,D15&gt;=0.20),"✓ BALANCED","⚠ NEEDS ADJUSTMENT")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45.7109375" customWidth="1"/>
    <col min="2" max="2" width="38.7109375" customWidth="1"/>
    <col min="3" max="3" width="10.7109375" customWidth="1"/>
    <col min="4" max="4" width="50.7109375" customWidth="1"/>
    <col min="5" max="5" width="33.7109375" customWidth="1"/>
  </cols>
  <sheetData>
    <row r="1" spans="1:5">
      <c r="A1" t="s">
        <v>129</v>
      </c>
    </row>
    <row r="3" spans="1:5">
      <c r="A3" t="s">
        <v>29</v>
      </c>
    </row>
    <row r="4" spans="1:5">
      <c r="A4" t="s">
        <v>30</v>
      </c>
      <c r="B4" t="s">
        <v>77</v>
      </c>
      <c r="C4" t="s">
        <v>110</v>
      </c>
      <c r="D4" t="s">
        <v>111</v>
      </c>
      <c r="E4" t="s">
        <v>113</v>
      </c>
    </row>
    <row r="5" spans="1:5">
      <c r="A5" t="s">
        <v>3</v>
      </c>
      <c r="B5" t="s">
        <v>78</v>
      </c>
      <c r="C5" t="s">
        <v>20</v>
      </c>
      <c r="D5" t="s">
        <v>112</v>
      </c>
      <c r="E5" t="s">
        <v>114</v>
      </c>
    </row>
    <row r="6" spans="1:5">
      <c r="A6" t="s">
        <v>4</v>
      </c>
      <c r="B6" t="s">
        <v>79</v>
      </c>
      <c r="C6" t="s">
        <v>20</v>
      </c>
      <c r="D6" t="s">
        <v>112</v>
      </c>
      <c r="E6" t="s">
        <v>115</v>
      </c>
    </row>
    <row r="7" spans="1:5">
      <c r="A7" t="s">
        <v>5</v>
      </c>
      <c r="B7" t="s">
        <v>80</v>
      </c>
      <c r="C7" t="s">
        <v>20</v>
      </c>
      <c r="D7" t="s">
        <v>112</v>
      </c>
      <c r="E7" t="s">
        <v>116</v>
      </c>
    </row>
    <row r="8" spans="1:5">
      <c r="A8" t="s">
        <v>31</v>
      </c>
      <c r="C8" t="s">
        <v>20</v>
      </c>
      <c r="D8">
        <f>SUM(D5:D7)</f>
        <v>0</v>
      </c>
    </row>
    <row r="11" spans="1:5">
      <c r="A11" t="s">
        <v>32</v>
      </c>
    </row>
    <row r="12" spans="1:5">
      <c r="A12" t="s">
        <v>7</v>
      </c>
      <c r="B12" t="s">
        <v>77</v>
      </c>
      <c r="C12" t="s">
        <v>110</v>
      </c>
      <c r="D12" t="s">
        <v>111</v>
      </c>
      <c r="E12" t="s">
        <v>117</v>
      </c>
    </row>
    <row r="13" spans="1:5">
      <c r="A13" t="s">
        <v>33</v>
      </c>
      <c r="B13" t="s">
        <v>81</v>
      </c>
      <c r="C13" t="s">
        <v>20</v>
      </c>
      <c r="D13" t="s">
        <v>112</v>
      </c>
      <c r="E13" t="s">
        <v>118</v>
      </c>
    </row>
    <row r="14" spans="1:5">
      <c r="A14" t="s">
        <v>34</v>
      </c>
      <c r="B14" t="s">
        <v>82</v>
      </c>
      <c r="C14" t="s">
        <v>20</v>
      </c>
      <c r="D14" t="s">
        <v>112</v>
      </c>
      <c r="E14" t="s">
        <v>118</v>
      </c>
    </row>
    <row r="15" spans="1:5">
      <c r="A15" t="s">
        <v>35</v>
      </c>
      <c r="B15" t="s">
        <v>83</v>
      </c>
      <c r="C15" t="s">
        <v>20</v>
      </c>
      <c r="D15" t="s">
        <v>112</v>
      </c>
      <c r="E15" t="s">
        <v>118</v>
      </c>
    </row>
    <row r="16" spans="1:5">
      <c r="A16" t="s">
        <v>36</v>
      </c>
      <c r="B16" t="s">
        <v>84</v>
      </c>
      <c r="C16" t="s">
        <v>20</v>
      </c>
      <c r="D16" t="s">
        <v>112</v>
      </c>
      <c r="E16" t="s">
        <v>118</v>
      </c>
    </row>
    <row r="17" spans="1:5">
      <c r="A17" t="s">
        <v>37</v>
      </c>
      <c r="B17" t="s">
        <v>85</v>
      </c>
      <c r="C17" t="s">
        <v>20</v>
      </c>
      <c r="D17" t="s">
        <v>112</v>
      </c>
      <c r="E17" t="s">
        <v>118</v>
      </c>
    </row>
    <row r="18" spans="1:5">
      <c r="A18" t="s">
        <v>38</v>
      </c>
      <c r="B18" t="s">
        <v>86</v>
      </c>
      <c r="C18" t="s">
        <v>20</v>
      </c>
      <c r="D18" t="s">
        <v>112</v>
      </c>
      <c r="E18" t="s">
        <v>118</v>
      </c>
    </row>
    <row r="19" spans="1:5">
      <c r="A19" t="s">
        <v>39</v>
      </c>
      <c r="B19" t="s">
        <v>87</v>
      </c>
      <c r="C19" t="s">
        <v>20</v>
      </c>
      <c r="D19" t="s">
        <v>112</v>
      </c>
      <c r="E19" t="s">
        <v>118</v>
      </c>
    </row>
    <row r="20" spans="1:5">
      <c r="A20" t="s">
        <v>40</v>
      </c>
      <c r="B20" t="s">
        <v>88</v>
      </c>
      <c r="C20" t="s">
        <v>20</v>
      </c>
      <c r="D20" t="s">
        <v>112</v>
      </c>
      <c r="E20" t="s">
        <v>118</v>
      </c>
    </row>
    <row r="21" spans="1:5">
      <c r="A21" t="s">
        <v>41</v>
      </c>
      <c r="B21" t="s">
        <v>89</v>
      </c>
      <c r="C21" t="s">
        <v>20</v>
      </c>
      <c r="D21" t="s">
        <v>112</v>
      </c>
      <c r="E21" t="s">
        <v>118</v>
      </c>
    </row>
    <row r="22" spans="1:5">
      <c r="A22" t="s">
        <v>42</v>
      </c>
      <c r="B22" t="s">
        <v>90</v>
      </c>
      <c r="C22" t="s">
        <v>20</v>
      </c>
      <c r="D22" t="s">
        <v>112</v>
      </c>
      <c r="E22" t="s">
        <v>118</v>
      </c>
    </row>
    <row r="23" spans="1:5">
      <c r="A23" t="s">
        <v>43</v>
      </c>
      <c r="C23" t="s">
        <v>20</v>
      </c>
      <c r="D23">
        <f>SUM(D14:D23)</f>
        <v>0</v>
      </c>
      <c r="E23" t="s">
        <v>119</v>
      </c>
    </row>
    <row r="25" spans="1:5">
      <c r="A25" t="s">
        <v>44</v>
      </c>
    </row>
    <row r="26" spans="1:5">
      <c r="A26" t="s">
        <v>7</v>
      </c>
      <c r="B26" t="s">
        <v>77</v>
      </c>
      <c r="C26" t="s">
        <v>110</v>
      </c>
      <c r="D26" t="s">
        <v>111</v>
      </c>
      <c r="E26" t="s">
        <v>117</v>
      </c>
    </row>
    <row r="27" spans="1:5">
      <c r="A27" t="s">
        <v>45</v>
      </c>
      <c r="B27" t="s">
        <v>91</v>
      </c>
      <c r="C27" t="s">
        <v>20</v>
      </c>
      <c r="D27" t="s">
        <v>112</v>
      </c>
      <c r="E27" t="s">
        <v>120</v>
      </c>
    </row>
    <row r="28" spans="1:5">
      <c r="A28" t="s">
        <v>46</v>
      </c>
      <c r="B28" t="s">
        <v>92</v>
      </c>
      <c r="C28" t="s">
        <v>20</v>
      </c>
      <c r="D28" t="s">
        <v>112</v>
      </c>
      <c r="E28" t="s">
        <v>120</v>
      </c>
    </row>
    <row r="29" spans="1:5">
      <c r="A29" t="s">
        <v>47</v>
      </c>
      <c r="B29" t="s">
        <v>93</v>
      </c>
      <c r="C29" t="s">
        <v>20</v>
      </c>
      <c r="D29" t="s">
        <v>112</v>
      </c>
      <c r="E29" t="s">
        <v>120</v>
      </c>
    </row>
    <row r="30" spans="1:5">
      <c r="A30" t="s">
        <v>48</v>
      </c>
      <c r="B30" t="s">
        <v>94</v>
      </c>
      <c r="C30" t="s">
        <v>20</v>
      </c>
      <c r="D30" t="s">
        <v>112</v>
      </c>
      <c r="E30" t="s">
        <v>120</v>
      </c>
    </row>
    <row r="31" spans="1:5">
      <c r="A31" t="s">
        <v>49</v>
      </c>
      <c r="B31" t="s">
        <v>95</v>
      </c>
      <c r="C31" t="s">
        <v>20</v>
      </c>
      <c r="D31" t="s">
        <v>112</v>
      </c>
      <c r="E31" t="s">
        <v>120</v>
      </c>
    </row>
    <row r="32" spans="1:5">
      <c r="A32" t="s">
        <v>50</v>
      </c>
      <c r="B32" t="s">
        <v>96</v>
      </c>
      <c r="C32" t="s">
        <v>20</v>
      </c>
      <c r="D32" t="s">
        <v>112</v>
      </c>
      <c r="E32" t="s">
        <v>120</v>
      </c>
    </row>
    <row r="33" spans="1:5">
      <c r="A33" t="s">
        <v>51</v>
      </c>
      <c r="B33" t="s">
        <v>97</v>
      </c>
      <c r="C33" t="s">
        <v>20</v>
      </c>
      <c r="D33" t="s">
        <v>112</v>
      </c>
      <c r="E33" t="s">
        <v>120</v>
      </c>
    </row>
    <row r="34" spans="1:5">
      <c r="A34" t="s">
        <v>52</v>
      </c>
      <c r="B34" t="s">
        <v>98</v>
      </c>
      <c r="C34" t="s">
        <v>20</v>
      </c>
      <c r="D34" t="s">
        <v>112</v>
      </c>
      <c r="E34" t="s">
        <v>120</v>
      </c>
    </row>
    <row r="35" spans="1:5">
      <c r="A35" t="s">
        <v>53</v>
      </c>
      <c r="B35" t="s">
        <v>99</v>
      </c>
      <c r="C35" t="s">
        <v>20</v>
      </c>
      <c r="D35" t="s">
        <v>112</v>
      </c>
      <c r="E35" t="s">
        <v>120</v>
      </c>
    </row>
    <row r="36" spans="1:5">
      <c r="A36" t="s">
        <v>54</v>
      </c>
      <c r="B36" t="s">
        <v>100</v>
      </c>
      <c r="C36" t="s">
        <v>20</v>
      </c>
      <c r="D36" t="s">
        <v>112</v>
      </c>
      <c r="E36" t="s">
        <v>120</v>
      </c>
    </row>
    <row r="37" spans="1:5">
      <c r="A37" t="s">
        <v>55</v>
      </c>
      <c r="B37" t="s">
        <v>101</v>
      </c>
      <c r="C37" t="s">
        <v>20</v>
      </c>
      <c r="D37" t="s">
        <v>112</v>
      </c>
      <c r="E37" t="s">
        <v>120</v>
      </c>
    </row>
    <row r="38" spans="1:5">
      <c r="A38" t="s">
        <v>56</v>
      </c>
      <c r="B38" t="s">
        <v>102</v>
      </c>
      <c r="C38" t="s">
        <v>20</v>
      </c>
      <c r="D38" t="s">
        <v>112</v>
      </c>
      <c r="E38" t="s">
        <v>120</v>
      </c>
    </row>
    <row r="39" spans="1:5">
      <c r="A39" t="s">
        <v>57</v>
      </c>
      <c r="C39" t="s">
        <v>20</v>
      </c>
      <c r="D39">
        <f>SUM(D27:D38)</f>
        <v>0</v>
      </c>
      <c r="E39" t="s">
        <v>121</v>
      </c>
    </row>
    <row r="41" spans="1:5">
      <c r="A41" t="s">
        <v>58</v>
      </c>
    </row>
    <row r="42" spans="1:5">
      <c r="A42" t="s">
        <v>7</v>
      </c>
      <c r="B42" t="s">
        <v>77</v>
      </c>
      <c r="C42" t="s">
        <v>110</v>
      </c>
      <c r="D42" t="s">
        <v>111</v>
      </c>
      <c r="E42" t="s">
        <v>117</v>
      </c>
    </row>
    <row r="43" spans="1:5">
      <c r="A43" t="s">
        <v>59</v>
      </c>
      <c r="B43" t="s">
        <v>103</v>
      </c>
      <c r="C43" t="s">
        <v>20</v>
      </c>
      <c r="D43" t="s">
        <v>112</v>
      </c>
      <c r="E43" t="s">
        <v>122</v>
      </c>
    </row>
    <row r="44" spans="1:5">
      <c r="A44" t="s">
        <v>60</v>
      </c>
      <c r="B44" t="s">
        <v>104</v>
      </c>
      <c r="C44" t="s">
        <v>20</v>
      </c>
      <c r="D44" t="s">
        <v>112</v>
      </c>
      <c r="E44" t="s">
        <v>122</v>
      </c>
    </row>
    <row r="45" spans="1:5">
      <c r="A45" t="s">
        <v>61</v>
      </c>
      <c r="B45" t="s">
        <v>105</v>
      </c>
      <c r="C45" t="s">
        <v>20</v>
      </c>
      <c r="D45" t="s">
        <v>112</v>
      </c>
      <c r="E45" t="s">
        <v>122</v>
      </c>
    </row>
    <row r="46" spans="1:5">
      <c r="A46" t="s">
        <v>62</v>
      </c>
      <c r="B46" t="s">
        <v>106</v>
      </c>
      <c r="C46" t="s">
        <v>20</v>
      </c>
      <c r="D46" t="s">
        <v>112</v>
      </c>
      <c r="E46" t="s">
        <v>122</v>
      </c>
    </row>
    <row r="47" spans="1:5">
      <c r="A47" t="s">
        <v>63</v>
      </c>
      <c r="B47" t="s">
        <v>107</v>
      </c>
      <c r="C47" t="s">
        <v>20</v>
      </c>
      <c r="D47" t="s">
        <v>112</v>
      </c>
      <c r="E47" t="s">
        <v>122</v>
      </c>
    </row>
    <row r="48" spans="1:5">
      <c r="A48" t="s">
        <v>64</v>
      </c>
      <c r="B48" t="s">
        <v>108</v>
      </c>
      <c r="C48" t="s">
        <v>20</v>
      </c>
      <c r="D48" t="s">
        <v>112</v>
      </c>
      <c r="E48" t="s">
        <v>122</v>
      </c>
    </row>
    <row r="49" spans="1:5">
      <c r="A49" t="s">
        <v>65</v>
      </c>
      <c r="B49" t="s">
        <v>109</v>
      </c>
      <c r="C49" t="s">
        <v>20</v>
      </c>
      <c r="D49" t="s">
        <v>112</v>
      </c>
      <c r="E49" t="s">
        <v>122</v>
      </c>
    </row>
    <row r="50" spans="1:5">
      <c r="A50" t="s">
        <v>66</v>
      </c>
      <c r="C50" t="s">
        <v>20</v>
      </c>
      <c r="D50">
        <f>SUM(D42:D48)</f>
        <v>0</v>
      </c>
      <c r="E50" t="s">
        <v>123</v>
      </c>
    </row>
    <row r="52" spans="1:5">
      <c r="A52" t="s">
        <v>67</v>
      </c>
    </row>
    <row r="54" spans="1:5">
      <c r="A54" t="s">
        <v>1</v>
      </c>
      <c r="C54" t="s">
        <v>20</v>
      </c>
      <c r="D54">
        <f>D8</f>
        <v>0</v>
      </c>
    </row>
    <row r="55" spans="1:5">
      <c r="A55" t="s">
        <v>68</v>
      </c>
      <c r="C55" t="s">
        <v>20</v>
      </c>
      <c r="D55">
        <f>D24+D39</f>
        <v>0</v>
      </c>
    </row>
    <row r="56" spans="1:5">
      <c r="A56" t="s">
        <v>13</v>
      </c>
      <c r="C56" t="s">
        <v>20</v>
      </c>
      <c r="D56">
        <f>D49</f>
        <v>0</v>
      </c>
    </row>
    <row r="57" spans="1:5">
      <c r="A57" t="s">
        <v>69</v>
      </c>
      <c r="C57" t="s">
        <v>20</v>
      </c>
      <c r="D57">
        <f>D53-D54-D55</f>
        <v>0</v>
      </c>
      <c r="E57" t="s">
        <v>124</v>
      </c>
    </row>
    <row r="59" spans="1:5">
      <c r="A59" t="s">
        <v>70</v>
      </c>
    </row>
    <row r="60" spans="1:5">
      <c r="A60" t="s">
        <v>71</v>
      </c>
      <c r="D60">
        <f>IF(D53=0,0,ROUND(D24/D53*100,1))%</f>
        <v>0</v>
      </c>
      <c r="E60" t="s">
        <v>125</v>
      </c>
    </row>
    <row r="61" spans="1:5">
      <c r="A61" t="s">
        <v>72</v>
      </c>
      <c r="D61">
        <f>IF(D53=0,0,ROUND(D39/D53*100,1))%</f>
        <v>0</v>
      </c>
      <c r="E61" t="s">
        <v>126</v>
      </c>
    </row>
    <row r="62" spans="1:5">
      <c r="A62" t="s">
        <v>73</v>
      </c>
      <c r="D62">
        <f>IF(D53=0,0,ROUND(D55/D53*100,1))%</f>
        <v>0</v>
      </c>
      <c r="E62" t="s">
        <v>127</v>
      </c>
    </row>
    <row r="64" spans="1:5">
      <c r="A64" t="s">
        <v>74</v>
      </c>
    </row>
    <row r="65" spans="1:5">
      <c r="A65" t="s">
        <v>75</v>
      </c>
      <c r="D65">
        <f>IF(D54&gt;D53,"⚠ OVERSPENDING",IF(D56&lt;0.50,"⚠ NEEDS ADJUSTMENT","✓ BALANCED"))</f>
        <v>0</v>
      </c>
    </row>
    <row r="66" spans="1:5">
      <c r="A66" t="s">
        <v>76</v>
      </c>
      <c r="C66" t="s">
        <v>20</v>
      </c>
      <c r="D66">
        <f>D53-D54</f>
        <v>0</v>
      </c>
      <c r="E66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45.7109375" customWidth="1"/>
    <col min="2" max="2" width="50.7109375" customWidth="1"/>
    <col min="3" max="3" width="25.7109375" customWidth="1"/>
    <col min="4" max="4" width="35.7109375" customWidth="1"/>
    <col min="5" max="5" width="27.7109375" customWidth="1"/>
  </cols>
  <sheetData>
    <row r="1" spans="1:4">
      <c r="A1" t="s">
        <v>296</v>
      </c>
    </row>
    <row r="3" spans="1:4">
      <c r="A3" t="s">
        <v>130</v>
      </c>
    </row>
    <row r="4" spans="1:4">
      <c r="A4" t="s">
        <v>131</v>
      </c>
      <c r="B4" t="s">
        <v>183</v>
      </c>
    </row>
    <row r="5" spans="1:4">
      <c r="A5" t="s">
        <v>132</v>
      </c>
      <c r="B5" t="s">
        <v>184</v>
      </c>
    </row>
    <row r="6" spans="1:4">
      <c r="A6" t="s">
        <v>133</v>
      </c>
      <c r="B6" t="s">
        <v>185</v>
      </c>
    </row>
    <row r="7" spans="1:4">
      <c r="A7" t="s">
        <v>134</v>
      </c>
      <c r="B7" t="s">
        <v>186</v>
      </c>
    </row>
    <row r="9" spans="1:4">
      <c r="A9" t="s">
        <v>135</v>
      </c>
    </row>
    <row r="10" spans="1:4">
      <c r="A10" t="s">
        <v>7</v>
      </c>
      <c r="B10" t="s">
        <v>187</v>
      </c>
      <c r="C10" t="s">
        <v>233</v>
      </c>
      <c r="D10" t="s">
        <v>258</v>
      </c>
    </row>
    <row r="11" spans="1:4">
      <c r="A11" t="s">
        <v>136</v>
      </c>
      <c r="B11" t="s">
        <v>188</v>
      </c>
      <c r="C11" t="s">
        <v>234</v>
      </c>
      <c r="D11" t="s">
        <v>259</v>
      </c>
    </row>
    <row r="12" spans="1:4">
      <c r="A12" t="s">
        <v>137</v>
      </c>
      <c r="B12" t="s">
        <v>189</v>
      </c>
      <c r="C12" t="s">
        <v>235</v>
      </c>
      <c r="D12" t="s">
        <v>260</v>
      </c>
    </row>
    <row r="13" spans="1:4">
      <c r="A13" t="s">
        <v>138</v>
      </c>
      <c r="B13" t="s">
        <v>190</v>
      </c>
      <c r="C13" t="s">
        <v>236</v>
      </c>
      <c r="D13" t="s">
        <v>261</v>
      </c>
    </row>
    <row r="14" spans="1:4">
      <c r="A14" t="s">
        <v>139</v>
      </c>
      <c r="B14" t="s">
        <v>191</v>
      </c>
      <c r="C14" t="s">
        <v>237</v>
      </c>
      <c r="D14" t="s">
        <v>262</v>
      </c>
    </row>
    <row r="15" spans="1:4">
      <c r="A15" t="s">
        <v>140</v>
      </c>
      <c r="B15" t="s">
        <v>192</v>
      </c>
      <c r="C15" t="s">
        <v>238</v>
      </c>
      <c r="D15" t="s">
        <v>263</v>
      </c>
    </row>
    <row r="16" spans="1:4">
      <c r="A16" t="s">
        <v>141</v>
      </c>
      <c r="B16" t="s">
        <v>193</v>
      </c>
      <c r="C16" t="s">
        <v>239</v>
      </c>
      <c r="D16" t="s">
        <v>264</v>
      </c>
    </row>
    <row r="17" spans="1:4">
      <c r="A17" t="s">
        <v>142</v>
      </c>
      <c r="B17" t="s">
        <v>194</v>
      </c>
      <c r="C17" t="s">
        <v>240</v>
      </c>
      <c r="D17" t="s">
        <v>265</v>
      </c>
    </row>
    <row r="18" spans="1:4">
      <c r="A18" t="s">
        <v>143</v>
      </c>
      <c r="B18" t="s">
        <v>195</v>
      </c>
      <c r="C18" t="s">
        <v>241</v>
      </c>
      <c r="D18" t="s">
        <v>266</v>
      </c>
    </row>
    <row r="19" spans="1:4">
      <c r="A19" t="s">
        <v>144</v>
      </c>
      <c r="B19" t="s">
        <v>196</v>
      </c>
      <c r="C19" t="s">
        <v>242</v>
      </c>
      <c r="D19" t="s">
        <v>267</v>
      </c>
    </row>
    <row r="20" spans="1:4">
      <c r="A20" t="s">
        <v>145</v>
      </c>
      <c r="B20" t="s">
        <v>197</v>
      </c>
      <c r="C20" t="s">
        <v>243</v>
      </c>
      <c r="D20" t="s">
        <v>268</v>
      </c>
    </row>
    <row r="22" spans="1:4">
      <c r="A22" t="s">
        <v>146</v>
      </c>
    </row>
    <row r="23" spans="1:4">
      <c r="A23" t="s">
        <v>7</v>
      </c>
      <c r="B23" t="s">
        <v>187</v>
      </c>
      <c r="C23" t="s">
        <v>233</v>
      </c>
      <c r="D23" t="s">
        <v>258</v>
      </c>
    </row>
    <row r="24" spans="1:4">
      <c r="A24" t="s">
        <v>147</v>
      </c>
      <c r="B24" t="s">
        <v>198</v>
      </c>
      <c r="C24" t="s">
        <v>244</v>
      </c>
      <c r="D24" t="s">
        <v>269</v>
      </c>
    </row>
    <row r="25" spans="1:4">
      <c r="A25" t="s">
        <v>148</v>
      </c>
      <c r="B25" t="s">
        <v>199</v>
      </c>
      <c r="C25" t="s">
        <v>240</v>
      </c>
      <c r="D25" t="s">
        <v>270</v>
      </c>
    </row>
    <row r="26" spans="1:4">
      <c r="A26" t="s">
        <v>149</v>
      </c>
      <c r="B26" t="s">
        <v>200</v>
      </c>
      <c r="C26" t="s">
        <v>239</v>
      </c>
      <c r="D26" t="s">
        <v>271</v>
      </c>
    </row>
    <row r="27" spans="1:4">
      <c r="A27" t="s">
        <v>150</v>
      </c>
      <c r="B27" t="s">
        <v>201</v>
      </c>
      <c r="C27" t="s">
        <v>237</v>
      </c>
      <c r="D27" t="s">
        <v>272</v>
      </c>
    </row>
    <row r="28" spans="1:4">
      <c r="A28" t="s">
        <v>151</v>
      </c>
      <c r="B28" t="s">
        <v>202</v>
      </c>
      <c r="C28" t="s">
        <v>245</v>
      </c>
      <c r="D28" t="s">
        <v>273</v>
      </c>
    </row>
    <row r="29" spans="1:4">
      <c r="A29" t="s">
        <v>152</v>
      </c>
      <c r="B29" t="s">
        <v>203</v>
      </c>
      <c r="C29" t="s">
        <v>246</v>
      </c>
      <c r="D29" t="s">
        <v>274</v>
      </c>
    </row>
    <row r="30" spans="1:4">
      <c r="A30" t="s">
        <v>153</v>
      </c>
      <c r="B30" t="s">
        <v>204</v>
      </c>
      <c r="C30" t="s">
        <v>244</v>
      </c>
      <c r="D30" t="s">
        <v>275</v>
      </c>
    </row>
    <row r="31" spans="1:4">
      <c r="A31" t="s">
        <v>154</v>
      </c>
      <c r="B31" t="s">
        <v>205</v>
      </c>
      <c r="C31" t="s">
        <v>244</v>
      </c>
      <c r="D31" t="s">
        <v>276</v>
      </c>
    </row>
    <row r="32" spans="1:4">
      <c r="A32" t="s">
        <v>155</v>
      </c>
      <c r="B32" t="s">
        <v>206</v>
      </c>
      <c r="C32" t="s">
        <v>247</v>
      </c>
      <c r="D32" t="s">
        <v>277</v>
      </c>
    </row>
    <row r="33" spans="1:5">
      <c r="A33" t="s">
        <v>156</v>
      </c>
      <c r="B33" t="s">
        <v>207</v>
      </c>
      <c r="C33" t="s">
        <v>248</v>
      </c>
      <c r="D33" t="s">
        <v>278</v>
      </c>
    </row>
    <row r="34" spans="1:5">
      <c r="A34" t="s">
        <v>157</v>
      </c>
      <c r="B34" t="s">
        <v>208</v>
      </c>
      <c r="C34" t="s">
        <v>249</v>
      </c>
      <c r="D34" t="s">
        <v>279</v>
      </c>
    </row>
    <row r="35" spans="1:5">
      <c r="A35" t="s">
        <v>158</v>
      </c>
      <c r="B35" t="s">
        <v>209</v>
      </c>
      <c r="C35" t="s">
        <v>249</v>
      </c>
      <c r="D35" t="s">
        <v>280</v>
      </c>
    </row>
    <row r="37" spans="1:5">
      <c r="A37" t="s">
        <v>159</v>
      </c>
    </row>
    <row r="38" spans="1:5">
      <c r="A38" t="s">
        <v>7</v>
      </c>
      <c r="B38" t="s">
        <v>210</v>
      </c>
      <c r="C38" t="s">
        <v>250</v>
      </c>
      <c r="D38" t="s">
        <v>281</v>
      </c>
      <c r="E38" t="s">
        <v>258</v>
      </c>
    </row>
    <row r="39" spans="1:5">
      <c r="A39" t="s">
        <v>59</v>
      </c>
      <c r="B39" t="s">
        <v>211</v>
      </c>
      <c r="C39" t="s">
        <v>251</v>
      </c>
      <c r="D39" t="s">
        <v>282</v>
      </c>
      <c r="E39" t="s">
        <v>289</v>
      </c>
    </row>
    <row r="40" spans="1:5">
      <c r="A40" t="s">
        <v>160</v>
      </c>
      <c r="B40" t="s">
        <v>212</v>
      </c>
      <c r="C40" t="s">
        <v>252</v>
      </c>
      <c r="D40" t="s">
        <v>282</v>
      </c>
      <c r="E40" t="s">
        <v>290</v>
      </c>
    </row>
    <row r="41" spans="1:5">
      <c r="A41" t="s">
        <v>61</v>
      </c>
      <c r="B41" t="s">
        <v>213</v>
      </c>
      <c r="C41" t="s">
        <v>253</v>
      </c>
      <c r="D41" t="s">
        <v>283</v>
      </c>
      <c r="E41" t="s">
        <v>291</v>
      </c>
    </row>
    <row r="42" spans="1:5">
      <c r="A42" t="s">
        <v>161</v>
      </c>
      <c r="B42" t="s">
        <v>214</v>
      </c>
      <c r="C42" t="s">
        <v>254</v>
      </c>
      <c r="D42" t="s">
        <v>284</v>
      </c>
      <c r="E42" t="s">
        <v>292</v>
      </c>
    </row>
    <row r="43" spans="1:5">
      <c r="A43" t="s">
        <v>162</v>
      </c>
      <c r="B43" t="s">
        <v>215</v>
      </c>
      <c r="C43" t="s">
        <v>255</v>
      </c>
      <c r="D43" t="s">
        <v>283</v>
      </c>
      <c r="E43" t="s">
        <v>293</v>
      </c>
    </row>
    <row r="44" spans="1:5">
      <c r="A44" t="s">
        <v>163</v>
      </c>
      <c r="B44" t="s">
        <v>216</v>
      </c>
      <c r="C44" t="s">
        <v>256</v>
      </c>
      <c r="D44" t="s">
        <v>285</v>
      </c>
      <c r="E44" t="s">
        <v>294</v>
      </c>
    </row>
    <row r="45" spans="1:5">
      <c r="A45" t="s">
        <v>164</v>
      </c>
      <c r="B45" t="s">
        <v>217</v>
      </c>
      <c r="C45" t="s">
        <v>257</v>
      </c>
      <c r="D45" t="s">
        <v>283</v>
      </c>
      <c r="E45" t="s">
        <v>295</v>
      </c>
    </row>
    <row r="47" spans="1:5">
      <c r="A47" t="s">
        <v>165</v>
      </c>
    </row>
    <row r="48" spans="1:5">
      <c r="A48" t="s">
        <v>166</v>
      </c>
      <c r="B48" t="s">
        <v>218</v>
      </c>
    </row>
    <row r="49" spans="1:4">
      <c r="A49" t="s">
        <v>167</v>
      </c>
      <c r="B49" t="s">
        <v>219</v>
      </c>
    </row>
    <row r="50" spans="1:4">
      <c r="A50" t="s">
        <v>168</v>
      </c>
      <c r="B50" t="s">
        <v>220</v>
      </c>
    </row>
    <row r="51" spans="1:4">
      <c r="A51" t="s">
        <v>169</v>
      </c>
      <c r="B51" t="s">
        <v>221</v>
      </c>
    </row>
    <row r="53" spans="1:4">
      <c r="A53" t="s">
        <v>170</v>
      </c>
    </row>
    <row r="54" spans="1:4">
      <c r="A54" t="s">
        <v>171</v>
      </c>
      <c r="B54" t="s">
        <v>222</v>
      </c>
      <c r="C54" t="s">
        <v>244</v>
      </c>
      <c r="D54" t="s">
        <v>286</v>
      </c>
    </row>
    <row r="55" spans="1:4">
      <c r="A55" t="s">
        <v>172</v>
      </c>
      <c r="B55" t="s">
        <v>223</v>
      </c>
      <c r="C55" t="s">
        <v>241</v>
      </c>
      <c r="D55" t="s">
        <v>287</v>
      </c>
    </row>
    <row r="56" spans="1:4">
      <c r="A56" t="s">
        <v>173</v>
      </c>
      <c r="B56" t="s">
        <v>224</v>
      </c>
      <c r="C56" t="s">
        <v>244</v>
      </c>
      <c r="D56" t="s">
        <v>288</v>
      </c>
    </row>
    <row r="58" spans="1:4">
      <c r="A58" t="s">
        <v>174</v>
      </c>
    </row>
    <row r="59" spans="1:4">
      <c r="A59" t="s">
        <v>175</v>
      </c>
      <c r="B59" t="s">
        <v>225</v>
      </c>
    </row>
    <row r="60" spans="1:4">
      <c r="A60" t="s">
        <v>176</v>
      </c>
      <c r="B60" t="s">
        <v>226</v>
      </c>
    </row>
    <row r="61" spans="1:4">
      <c r="A61" t="s">
        <v>177</v>
      </c>
      <c r="B61" t="s">
        <v>227</v>
      </c>
    </row>
    <row r="62" spans="1:4">
      <c r="A62" t="s">
        <v>178</v>
      </c>
      <c r="B62" t="s">
        <v>228</v>
      </c>
    </row>
    <row r="63" spans="1:4">
      <c r="A63" t="s">
        <v>179</v>
      </c>
      <c r="B63" t="s">
        <v>229</v>
      </c>
    </row>
    <row r="64" spans="1:4">
      <c r="A64" t="s">
        <v>180</v>
      </c>
      <c r="B64" t="s">
        <v>230</v>
      </c>
    </row>
    <row r="65" spans="1:2">
      <c r="A65" t="s">
        <v>181</v>
      </c>
      <c r="B65" t="s">
        <v>231</v>
      </c>
    </row>
    <row r="66" spans="1:2">
      <c r="A66" t="s">
        <v>182</v>
      </c>
      <c r="B66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50.7109375" customWidth="1"/>
    <col min="2" max="2" width="18.7109375" customWidth="1"/>
    <col min="3" max="3" width="15.7109375" customWidth="1"/>
    <col min="4" max="4" width="17.7109375" customWidth="1"/>
    <col min="5" max="5" width="19.7109375" customWidth="1"/>
  </cols>
  <sheetData>
    <row r="1" spans="1:5">
      <c r="A1" t="s">
        <v>307</v>
      </c>
    </row>
    <row r="3" spans="1:5">
      <c r="A3" t="s">
        <v>297</v>
      </c>
    </row>
    <row r="5" spans="1:5">
      <c r="A5" t="s">
        <v>298</v>
      </c>
    </row>
    <row r="6" spans="1:5">
      <c r="A6" t="s">
        <v>299</v>
      </c>
      <c r="B6" t="s">
        <v>117</v>
      </c>
      <c r="C6" t="s">
        <v>303</v>
      </c>
      <c r="D6" t="s">
        <v>21</v>
      </c>
      <c r="E6" t="s">
        <v>306</v>
      </c>
    </row>
    <row r="7" spans="1:5">
      <c r="A7" t="s">
        <v>300</v>
      </c>
      <c r="B7" t="s">
        <v>118</v>
      </c>
      <c r="C7" t="s">
        <v>138</v>
      </c>
      <c r="D7" t="s">
        <v>112</v>
      </c>
    </row>
    <row r="25" spans="1:5">
      <c r="A25" t="s">
        <v>301</v>
      </c>
    </row>
    <row r="26" spans="1:5">
      <c r="A26" t="s">
        <v>117</v>
      </c>
      <c r="B26" t="s">
        <v>302</v>
      </c>
      <c r="C26" t="s">
        <v>22</v>
      </c>
      <c r="D26" t="s">
        <v>305</v>
      </c>
      <c r="E26" t="s">
        <v>27</v>
      </c>
    </row>
    <row r="27" spans="1:5">
      <c r="A27" t="s">
        <v>118</v>
      </c>
      <c r="B27" t="s">
        <v>112</v>
      </c>
      <c r="C27" t="s">
        <v>304</v>
      </c>
      <c r="D27" t="s">
        <v>24</v>
      </c>
    </row>
    <row r="28" spans="1:5">
      <c r="A28" t="s">
        <v>120</v>
      </c>
      <c r="B28" t="s">
        <v>112</v>
      </c>
      <c r="C28" t="s">
        <v>304</v>
      </c>
      <c r="D28" t="s">
        <v>25</v>
      </c>
    </row>
    <row r="29" spans="1:5">
      <c r="A29" t="s">
        <v>122</v>
      </c>
      <c r="B29" t="s">
        <v>112</v>
      </c>
      <c r="C29" t="s">
        <v>304</v>
      </c>
      <c r="D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Monthly Budget</vt:lpstr>
      <vt:lpstr>Category Guide</vt:lpstr>
      <vt:lpstr>Monthly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2026-01-02T15:31:00Z</dcterms:created>
  <dcterms:modified xsi:type="dcterms:W3CDTF">2026-01-02T15:31:00Z</dcterms:modified>
</cp:coreProperties>
</file>