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Debt List" sheetId="2" r:id="rId2"/>
    <sheet name="Payment Track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30.83203125" customWidth="1"/>
    <col min="2" max="2" width="18.83203125" customWidth="1"/>
    <col min="3" max="3" width="15.83203125" customWidth="1"/>
  </cols>
  <sheetData>
    <row r="1">
      <c r="A1" t="str">
        <v>DEBT FREEDOM DASHBOARD</v>
      </c>
    </row>
    <row r="2">
      <c r="A2" t="str">
        <v/>
      </c>
    </row>
    <row r="3">
      <c r="A3" t="str">
        <v>DEBT OVERVIEW</v>
      </c>
    </row>
    <row r="4">
      <c r="A4" t="str">
        <v/>
      </c>
    </row>
    <row r="5">
      <c r="A5" t="str">
        <v>Total Original Debt</v>
      </c>
      <c r="B5">
        <f>'Debt List'!C15</f>
      </c>
    </row>
    <row r="6">
      <c r="A6" t="str">
        <v>Total Current Balance</v>
      </c>
      <c r="B6">
        <f>'Debt List'!D15</f>
      </c>
    </row>
    <row r="7">
      <c r="A7" t="str">
        <v>Total Paid Off</v>
      </c>
      <c r="B7">
        <f>B5-B6</f>
      </c>
    </row>
    <row r="8">
      <c r="A8" t="str">
        <v>Progress</v>
      </c>
      <c r="B8">
        <f>IF(B5&gt;0,ROUND(B7/B5*100,1),0)</f>
      </c>
      <c r="C8" t="str">
        <v>%</v>
      </c>
    </row>
    <row r="9">
      <c r="A9" t="str">
        <v/>
      </c>
    </row>
    <row r="10">
      <c r="A10" t="str">
        <v>Monthly Minimum Payment</v>
      </c>
      <c r="B10">
        <f>'Debt List'!E15</f>
      </c>
    </row>
    <row r="11">
      <c r="A11" t="str">
        <v>Your Monthly Budget</v>
      </c>
      <c r="B11">
        <f>'Debt List'!B18</f>
      </c>
    </row>
    <row r="12">
      <c r="A12" t="str">
        <v>Extra Payment Available</v>
      </c>
      <c r="B12">
        <f>B11-B10</f>
      </c>
    </row>
    <row r="13">
      <c r="A13" t="str">
        <v/>
      </c>
    </row>
    <row r="14">
      <c r="A14" t="str">
        <v>PAYOFF PROJECTIONS</v>
      </c>
    </row>
    <row r="15">
      <c r="A15" t="str">
        <v/>
      </c>
    </row>
    <row r="16">
      <c r="A16" t="str">
        <v>Strategy</v>
      </c>
      <c r="B16" t="str">
        <v>Months to Freedom</v>
      </c>
      <c r="C16" t="str">
        <v>Total Interest</v>
      </c>
    </row>
    <row r="17">
      <c r="A17" t="str">
        <v>Minimum Payments Only</v>
      </c>
      <c r="B17">
        <f>ROUND(B6/B10,0)</f>
      </c>
      <c r="C17">
        <f>B17*B10-B6</f>
      </c>
    </row>
    <row r="18">
      <c r="A18" t="str">
        <v>With Extra Payments</v>
      </c>
      <c r="B18">
        <f>ROUND(B6/B11,0)</f>
      </c>
      <c r="C18">
        <f>B18*B11-B6</f>
      </c>
    </row>
    <row r="19">
      <c r="A19" t="str">
        <v>Months Saved</v>
      </c>
      <c r="B19">
        <f>B17-B18</f>
      </c>
      <c r="C19" t="str">
        <v/>
      </c>
    </row>
    <row r="20">
      <c r="A20" t="str">
        <v/>
      </c>
    </row>
    <row r="21">
      <c r="A21" t="str">
        <v>MOTIVATION TRACKER</v>
      </c>
    </row>
    <row r="22">
      <c r="A22" t="str">
        <v/>
      </c>
    </row>
    <row r="23">
      <c r="A23" t="str">
        <v>Milestone</v>
      </c>
      <c r="B23" t="str">
        <v>Target</v>
      </c>
      <c r="C23" t="str">
        <v>Status</v>
      </c>
    </row>
    <row r="24">
      <c r="A24" t="str">
        <v>25% Debt Free</v>
      </c>
      <c r="B24">
        <f>B5*0.25</f>
      </c>
      <c r="C24">
        <f>IF(B7&gt;=B24,"ACHIEVED!","In Progress")</f>
      </c>
    </row>
    <row r="25">
      <c r="A25" t="str">
        <v>50% Debt Free</v>
      </c>
      <c r="B25">
        <f>B5*0.5</f>
      </c>
      <c r="C25">
        <f>IF(B7&gt;=B25,"ACHIEVED!","In Progress")</f>
      </c>
    </row>
    <row r="26">
      <c r="A26" t="str">
        <v>75% Debt Free</v>
      </c>
      <c r="B26">
        <f>B5*0.75</f>
      </c>
      <c r="C26">
        <f>IF(B7&gt;=B26,"ACHIEVED!","In Progress")</f>
      </c>
    </row>
    <row r="27">
      <c r="A27" t="str">
        <v>100% DEBT FREE!</v>
      </c>
      <c r="B27">
        <f>B5</f>
      </c>
      <c r="C27">
        <f>IF(B7&gt;=B27,"CONGRATULATIONS!","Keep Going!")</f>
      </c>
    </row>
  </sheetData>
  <ignoredErrors>
    <ignoredError numberStoredAsText="1" sqref="A1:C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20.83203125" customWidth="1"/>
    <col min="2" max="2" width="12.83203125" customWidth="1"/>
    <col min="3" max="3" width="18.83203125" customWidth="1"/>
    <col min="4" max="4" width="18.83203125" customWidth="1"/>
    <col min="5" max="5" width="15.83203125" customWidth="1"/>
    <col min="6" max="6" width="15.83203125" customWidth="1"/>
    <col min="7" max="7" width="10.83203125" customWidth="1"/>
  </cols>
  <sheetData>
    <row r="1">
      <c r="A1" t="str">
        <v>DEBT LIST</v>
      </c>
    </row>
    <row r="2">
      <c r="A2" t="str">
        <v/>
      </c>
    </row>
    <row r="3">
      <c r="A3" t="str">
        <v>Enter all your debts below:</v>
      </c>
    </row>
    <row r="4">
      <c r="A4" t="str">
        <v/>
      </c>
    </row>
    <row r="5">
      <c r="A5" t="str">
        <v>Debt Name</v>
      </c>
      <c r="B5" t="str">
        <v>Lender</v>
      </c>
      <c r="C5" t="str">
        <v>Original Amount</v>
      </c>
      <c r="D5" t="str">
        <v>Current Balance</v>
      </c>
      <c r="E5" t="str">
        <v>Min Payment</v>
      </c>
      <c r="F5" t="str">
        <v>Interest Rate %</v>
      </c>
      <c r="G5" t="str">
        <v>Due Date</v>
      </c>
    </row>
    <row r="6">
      <c r="A6" t="str">
        <v>Credit Card 1</v>
      </c>
      <c r="B6" t="str">
        <v>HDFC</v>
      </c>
      <c r="C6">
        <v>80000</v>
      </c>
      <c r="D6">
        <v>65000</v>
      </c>
      <c r="E6">
        <v>3250</v>
      </c>
      <c r="F6">
        <v>42</v>
      </c>
      <c r="G6">
        <v>5</v>
      </c>
    </row>
    <row r="7">
      <c r="A7" t="str">
        <v>Credit Card 2</v>
      </c>
      <c r="B7" t="str">
        <v>ICICI</v>
      </c>
      <c r="C7">
        <v>45000</v>
      </c>
      <c r="D7">
        <v>38000</v>
      </c>
      <c r="E7">
        <v>1900</v>
      </c>
      <c r="F7">
        <v>39</v>
      </c>
      <c r="G7">
        <v>10</v>
      </c>
    </row>
    <row r="8">
      <c r="A8" t="str">
        <v>Personal Loan</v>
      </c>
      <c r="B8" t="str">
        <v>Bajaj</v>
      </c>
      <c r="C8">
        <v>300000</v>
      </c>
      <c r="D8">
        <v>220000</v>
      </c>
      <c r="E8">
        <v>12000</v>
      </c>
      <c r="F8">
        <v>16</v>
      </c>
      <c r="G8">
        <v>5</v>
      </c>
    </row>
    <row r="9">
      <c r="A9" t="str">
        <v>Car Loan</v>
      </c>
      <c r="B9" t="str">
        <v>HDFC</v>
      </c>
      <c r="C9">
        <v>600000</v>
      </c>
      <c r="D9">
        <v>480000</v>
      </c>
      <c r="E9">
        <v>15000</v>
      </c>
      <c r="F9">
        <v>9.5</v>
      </c>
      <c r="G9">
        <v>1</v>
      </c>
    </row>
    <row r="10">
      <c r="A10" t="str">
        <v>Gold Loan</v>
      </c>
      <c r="B10" t="str">
        <v>Muthoot</v>
      </c>
      <c r="C10">
        <v>100000</v>
      </c>
      <c r="D10">
        <v>75000</v>
      </c>
      <c r="E10">
        <v>4000</v>
      </c>
      <c r="F10">
        <v>12</v>
      </c>
      <c r="G10">
        <v>15</v>
      </c>
    </row>
    <row r="11">
      <c r="A11" t="str">
        <v>Education Loan</v>
      </c>
      <c r="B11" t="str">
        <v>SBI</v>
      </c>
      <c r="C11">
        <v>500000</v>
      </c>
      <c r="D11">
        <v>420000</v>
      </c>
      <c r="E11">
        <v>8500</v>
      </c>
      <c r="F11">
        <v>8.5</v>
      </c>
      <c r="G11">
        <v>10</v>
      </c>
    </row>
    <row r="12">
      <c r="A12" t="str">
        <v>Consumer Durable</v>
      </c>
      <c r="B12" t="str">
        <v>Bajaj</v>
      </c>
      <c r="C12">
        <v>50000</v>
      </c>
      <c r="D12">
        <v>30000</v>
      </c>
      <c r="E12">
        <v>3500</v>
      </c>
      <c r="F12">
        <v>14</v>
      </c>
      <c r="G12">
        <v>20</v>
      </c>
    </row>
    <row r="13">
      <c r="A13" t="str">
        <v>Add more...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</row>
    <row r="15">
      <c r="A15" t="str">
        <v>TOTALS</v>
      </c>
      <c r="B15" t="str">
        <v/>
      </c>
      <c r="C15">
        <f>SUM(C6:C13)</f>
      </c>
      <c r="D15">
        <f>SUM(D6:D13)</f>
      </c>
      <c r="E15">
        <f>SUM(E6:E13)</f>
      </c>
    </row>
    <row r="16">
      <c r="A16" t="str">
        <v/>
      </c>
    </row>
    <row r="17">
      <c r="A17" t="str">
        <v>YOUR MONTHLY BUDGET FOR DEBT</v>
      </c>
    </row>
    <row r="18">
      <c r="A18" t="str">
        <v>Amount you can pay monthly:</v>
      </c>
      <c r="B18">
        <v>55000</v>
      </c>
    </row>
    <row r="19">
      <c r="A19" t="str">
        <v>Extra beyond minimum:</v>
      </c>
      <c r="B19">
        <f>B18-E15</f>
      </c>
    </row>
    <row r="20">
      <c r="A20" t="str">
        <v/>
      </c>
    </row>
    <row r="21">
      <c r="A21" t="str">
        <v>PAYOFF ORDER - AVALANCHE (Highest Interest First):</v>
      </c>
    </row>
    <row r="22">
      <c r="A22" t="str">
        <v>1. Credit Card 1 (42%)</v>
      </c>
    </row>
    <row r="23">
      <c r="A23" t="str">
        <v>2. Credit Card 2 (39%)</v>
      </c>
    </row>
    <row r="24">
      <c r="A24" t="str">
        <v>3. Personal Loan (16%)</v>
      </c>
    </row>
    <row r="25">
      <c r="A25" t="str">
        <v>4. Consumer Durable (14%)</v>
      </c>
    </row>
    <row r="26">
      <c r="A26" t="str">
        <v>5. Gold Loan (12%)</v>
      </c>
    </row>
    <row r="27">
      <c r="A27" t="str">
        <v/>
      </c>
    </row>
    <row r="28">
      <c r="A28" t="str">
        <v>PAYOFF ORDER - SNOWBALL (Smallest Balance First):</v>
      </c>
    </row>
    <row r="29">
      <c r="A29" t="str">
        <v>1. Consumer Durable (30,000)</v>
      </c>
    </row>
    <row r="30">
      <c r="A30" t="str">
        <v>2. Credit Card 2 (38,000)</v>
      </c>
    </row>
    <row r="31">
      <c r="A31" t="str">
        <v>3. Credit Card 1 (65,000)</v>
      </c>
    </row>
    <row r="32">
      <c r="A32" t="str">
        <v>4. Gold Loan (75,000)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2.83203125" customWidth="1"/>
    <col min="5" max="5" width="12.83203125" customWidth="1"/>
    <col min="6" max="6" width="15.83203125" customWidth="1"/>
    <col min="7" max="7" width="20.83203125" customWidth="1"/>
  </cols>
  <sheetData>
    <row r="1">
      <c r="A1" t="str">
        <v>PAYMENT TRACKER</v>
      </c>
    </row>
    <row r="2">
      <c r="A2" t="str">
        <v/>
      </c>
    </row>
    <row r="3">
      <c r="A3" t="str">
        <v>Record each payment to track progress.</v>
      </c>
    </row>
    <row r="4">
      <c r="A4" t="str">
        <v/>
      </c>
    </row>
    <row r="5">
      <c r="A5" t="str">
        <v>Date</v>
      </c>
      <c r="B5" t="str">
        <v>Debt Name</v>
      </c>
      <c r="C5" t="str">
        <v>Payment Amount</v>
      </c>
      <c r="D5" t="str">
        <v>Interest</v>
      </c>
      <c r="E5" t="str">
        <v>Principal</v>
      </c>
      <c r="F5" t="str">
        <v>New Balance</v>
      </c>
      <c r="G5" t="str">
        <v>Notes</v>
      </c>
    </row>
    <row r="6">
      <c r="A6" t="str">
        <v>01-Jan-2025</v>
      </c>
      <c r="B6" t="str">
        <v>Credit Card 1</v>
      </c>
      <c r="C6">
        <v>10000</v>
      </c>
      <c r="D6">
        <v>2275</v>
      </c>
      <c r="E6">
        <v>7725</v>
      </c>
      <c r="F6">
        <v>57275</v>
      </c>
      <c r="G6" t="str">
        <v>Extra payment</v>
      </c>
    </row>
    <row r="7">
      <c r="A7" t="str">
        <v>01-Jan-2025</v>
      </c>
      <c r="B7" t="str">
        <v>Credit Card 2</v>
      </c>
      <c r="C7">
        <v>1900</v>
      </c>
      <c r="D7">
        <v>1235</v>
      </c>
      <c r="E7">
        <v>665</v>
      </c>
      <c r="F7">
        <v>37335</v>
      </c>
      <c r="G7" t="str">
        <v>Minimum</v>
      </c>
    </row>
    <row r="8">
      <c r="A8" t="str">
        <v>01-Jan-2025</v>
      </c>
      <c r="B8" t="str">
        <v>Personal Loan</v>
      </c>
      <c r="C8">
        <v>12000</v>
      </c>
      <c r="D8">
        <v>2933</v>
      </c>
      <c r="E8">
        <v>9067</v>
      </c>
      <c r="F8">
        <v>210933</v>
      </c>
      <c r="G8" t="str">
        <v>Minimum</v>
      </c>
    </row>
    <row r="9">
      <c r="A9" t="str">
        <v>01-Jan-2025</v>
      </c>
      <c r="B9" t="str">
        <v>Car Loan</v>
      </c>
      <c r="C9">
        <v>15000</v>
      </c>
      <c r="D9">
        <v>3800</v>
      </c>
      <c r="E9">
        <v>11200</v>
      </c>
      <c r="F9">
        <v>468800</v>
      </c>
      <c r="G9" t="str">
        <v>Minimum</v>
      </c>
    </row>
    <row r="10">
      <c r="A10" t="str">
        <v>01-Jan-2025</v>
      </c>
      <c r="B10" t="str">
        <v>Gold Loan</v>
      </c>
      <c r="C10">
        <v>4000</v>
      </c>
      <c r="D10">
        <v>750</v>
      </c>
      <c r="E10">
        <v>3250</v>
      </c>
      <c r="F10">
        <v>71750</v>
      </c>
      <c r="G10" t="str">
        <v>Minimum</v>
      </c>
    </row>
    <row r="11">
      <c r="A11" t="str">
        <v>01-Jan-2025</v>
      </c>
      <c r="B11" t="str">
        <v>Education Loan</v>
      </c>
      <c r="C11">
        <v>8500</v>
      </c>
      <c r="D11">
        <v>2975</v>
      </c>
      <c r="E11">
        <v>5525</v>
      </c>
      <c r="F11">
        <v>414475</v>
      </c>
      <c r="G11" t="str">
        <v>Minimum</v>
      </c>
    </row>
    <row r="12">
      <c r="A12" t="str">
        <v>01-Jan-2025</v>
      </c>
      <c r="B12" t="str">
        <v>Consumer Durable</v>
      </c>
      <c r="C12">
        <v>3500</v>
      </c>
      <c r="D12">
        <v>350</v>
      </c>
      <c r="E12">
        <v>3150</v>
      </c>
      <c r="F12">
        <v>26850</v>
      </c>
      <c r="G12" t="str">
        <v>Minimum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Continue adding...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</row>
    <row r="16">
      <c r="A16" t="str">
        <v>MONTHLY SUMMARY</v>
      </c>
    </row>
    <row r="17">
      <c r="A17" t="str">
        <v>Total Paid This Month</v>
      </c>
      <c r="B17">
        <f>SUM(C6:C12)</f>
      </c>
    </row>
    <row r="18">
      <c r="A18" t="str">
        <v>Total to Interest</v>
      </c>
      <c r="B18">
        <f>SUM(D6:D12)</f>
      </c>
    </row>
    <row r="19">
      <c r="A19" t="str">
        <v>Total to Principal</v>
      </c>
      <c r="B19">
        <f>SUM(E6:E12)</f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Debt List</vt:lpstr>
      <vt:lpstr>Payment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