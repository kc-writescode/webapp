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ebt Inventory" sheetId="2" r:id="rId2"/>
    <sheet name="Snowball" sheetId="3" r:id="rId3"/>
    <sheet name="Avalanche" sheetId="4" r:id="rId4"/>
    <sheet name="Payment Schedule" sheetId="5" r:id="rId5"/>
    <sheet name="Interest Tracker" sheetId="6" r:id="rId6"/>
    <sheet name="Milestones" sheetId="7" r:id="rId7"/>
  </sheets>
  <calcPr calcId="124519" fullCalcOnLoad="1"/>
</workbook>
</file>

<file path=xl/sharedStrings.xml><?xml version="1.0" encoding="utf-8"?>
<sst xmlns="http://schemas.openxmlformats.org/spreadsheetml/2006/main" count="761" uniqueCount="387">
  <si>
    <t>YOUR DEBT OVERVIEW</t>
  </si>
  <si>
    <t>Total Debt Amount</t>
  </si>
  <si>
    <t>Total Monthly Payment</t>
  </si>
  <si>
    <t>Total Interest Paid (Lifetime)</t>
  </si>
  <si>
    <t>PAYOFF STRATEGY COMPARISON</t>
  </si>
  <si>
    <t>Strategy</t>
  </si>
  <si>
    <t>Snowball Method</t>
  </si>
  <si>
    <t>Avalanche Method</t>
  </si>
  <si>
    <t>DEBT-FREE DATE PROJECTION</t>
  </si>
  <si>
    <t>Using Snowball Strategy</t>
  </si>
  <si>
    <t>Using Avalanche Strategy</t>
  </si>
  <si>
    <t>Faster Method Advantage</t>
  </si>
  <si>
    <t>INTEREST SAVINGS TRACKER</t>
  </si>
  <si>
    <t>Interest Paid vs Saved</t>
  </si>
  <si>
    <t>Interest with Snowball</t>
  </si>
  <si>
    <t>Interest with Avalanche</t>
  </si>
  <si>
    <t>Potential Savings</t>
  </si>
  <si>
    <t>MILESTONES &amp; PROGRESS</t>
  </si>
  <si>
    <t>Milestone</t>
  </si>
  <si>
    <t>25% Debt Cleared</t>
  </si>
  <si>
    <t>50% Debt Cleared (Halfway!)</t>
  </si>
  <si>
    <t>75% Debt Cleared</t>
  </si>
  <si>
    <t>100% DEBT FREE!</t>
  </si>
  <si>
    <t>QUICK INSIGHTS</t>
  </si>
  <si>
    <t>Average Interest Rate</t>
  </si>
  <si>
    <t>Highest Interest Debt</t>
  </si>
  <si>
    <t>Monthly Extra Payment Capacity</t>
  </si>
  <si>
    <t>Years to Debt Freedom (Current pace)</t>
  </si>
  <si>
    <t>₹</t>
  </si>
  <si>
    <t>Monthly Payment</t>
  </si>
  <si>
    <t>Date</t>
  </si>
  <si>
    <t>Months Saved</t>
  </si>
  <si>
    <t>Amount (₹)</t>
  </si>
  <si>
    <t>Target Date</t>
  </si>
  <si>
    <t>TBD</t>
  </si>
  <si>
    <t>Max: 45%</t>
  </si>
  <si>
    <t>Total Interest</t>
  </si>
  <si>
    <t>Percentage</t>
  </si>
  <si>
    <t>100%</t>
  </si>
  <si>
    <t>Amount Remaining</t>
  </si>
  <si>
    <t>₹0</t>
  </si>
  <si>
    <t>Across all debts</t>
  </si>
  <si>
    <t>Priority for avalanche</t>
  </si>
  <si>
    <t>0</t>
  </si>
  <si>
    <t>Estimate</t>
  </si>
  <si>
    <t>Time to Payoff</t>
  </si>
  <si>
    <t>Impact</t>
  </si>
  <si>
    <t>Balanced approach</t>
  </si>
  <si>
    <t>Maximum savings</t>
  </si>
  <si>
    <t>Avalanche advantage</t>
  </si>
  <si>
    <t>Status</t>
  </si>
  <si>
    <t>Track progress</t>
  </si>
  <si>
    <t>Motivational point</t>
  </si>
  <si>
    <t>Almost there!</t>
  </si>
  <si>
    <t>FREEDOM!</t>
  </si>
  <si>
    <t>Add to accelerate payoff</t>
  </si>
  <si>
    <t>Recommended For</t>
  </si>
  <si>
    <t>Psychological wins</t>
  </si>
  <si>
    <t>Interest minimization</t>
  </si>
  <si>
    <t>DEBT FREEDOM TRACKER - VISUAL DASHBOARD</t>
  </si>
  <si>
    <t>Add all debts below. The system will auto-calculate payoff strategies.</t>
  </si>
  <si>
    <t>Debt Details</t>
  </si>
  <si>
    <t>Debt Name</t>
  </si>
  <si>
    <t>Credit Card 1</t>
  </si>
  <si>
    <t>Credit Card 2</t>
  </si>
  <si>
    <t>Personal Loan 1</t>
  </si>
  <si>
    <t>Auto Loan</t>
  </si>
  <si>
    <t>Education Loan</t>
  </si>
  <si>
    <t>Home Loan</t>
  </si>
  <si>
    <t>Medical Debt</t>
  </si>
  <si>
    <t>Family Loan</t>
  </si>
  <si>
    <t>Business Loan</t>
  </si>
  <si>
    <t>Other Debt</t>
  </si>
  <si>
    <t>SUMMARY STATISTICS</t>
  </si>
  <si>
    <t>Total Debt</t>
  </si>
  <si>
    <t>Total Monthly Minimum Payment</t>
  </si>
  <si>
    <t>Lowest Interest Debt</t>
  </si>
  <si>
    <t>Number of Debts</t>
  </si>
  <si>
    <t>Type</t>
  </si>
  <si>
    <t>Credit Card</t>
  </si>
  <si>
    <t>Personal Loan</t>
  </si>
  <si>
    <t>Vehicle Loan</t>
  </si>
  <si>
    <t>Student Loan</t>
  </si>
  <si>
    <t>Mortgage</t>
  </si>
  <si>
    <t>Other</t>
  </si>
  <si>
    <t>Personal</t>
  </si>
  <si>
    <t>Business</t>
  </si>
  <si>
    <t>Interest Rate (%)</t>
  </si>
  <si>
    <t>Current Balance (₹)</t>
  </si>
  <si>
    <t>Min. Monthly Payment (₹)</t>
  </si>
  <si>
    <t>DEBT INVENTORY - LIST ALL YOUR DEBTS</t>
  </si>
  <si>
    <t>Snowball Strategy: Pay smallest balance first (regardless of interest)</t>
  </si>
  <si>
    <t>Benefit: Quick wins boost motivation and momentum</t>
  </si>
  <si>
    <t>Approach: Minimum payment on all, extra towards smallest debt</t>
  </si>
  <si>
    <t>SNOWBALL PAYOFF SCHEDULE</t>
  </si>
  <si>
    <t>Month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</si>
  <si>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</si>
  <si>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</si>
  <si>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</si>
  <si>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</si>
  <si>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</si>
  <si>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</si>
  <si>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</si>
  <si>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</si>
  <si>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</si>
  <si>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</si>
  <si>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</si>
  <si>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</si>
  <si>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YEAR 1 SUMMARY</t>
  </si>
  <si>
    <t>Total Paid</t>
  </si>
  <si>
    <t>Interest Paid</t>
  </si>
  <si>
    <t>Principal Paid</t>
  </si>
  <si>
    <t>Debt Eliminated</t>
  </si>
  <si>
    <t>Remaining Debt</t>
  </si>
  <si>
    <t>SNOWBALL PAYOFF ORDER (by current balance - smallest first)</t>
  </si>
  <si>
    <t>Priority</t>
  </si>
  <si>
    <t>SNOWBALL ADVANTAGES</t>
  </si>
  <si>
    <t>✓ Psychological Boost</t>
  </si>
  <si>
    <t>✓ Motivation Builder</t>
  </si>
  <si>
    <t>✓ Debt-Free Milestones</t>
  </si>
  <si>
    <t>✓ Simpler to Execute</t>
  </si>
  <si>
    <t>✓ Better for Behavioral Change</t>
  </si>
  <si>
    <t>SNOWBALL DISADVANTAGES</t>
  </si>
  <si>
    <t>✗ Higher Total Interest</t>
  </si>
  <si>
    <t>✗ Longer Payoff Period</t>
  </si>
  <si>
    <t>✗ Cost Inefficient</t>
  </si>
  <si>
    <t>Debt Priority (by balance)</t>
  </si>
  <si>
    <t>Target: Smallest balance debt</t>
  </si>
  <si>
    <t>Continue smallest</t>
  </si>
  <si>
    <t>Move to next smallest</t>
  </si>
  <si>
    <t>Next debt (freed up payment)</t>
  </si>
  <si>
    <t>Continue snowball</t>
  </si>
  <si>
    <t>Building momentum</t>
  </si>
  <si>
    <t>Acceleration phase</t>
  </si>
  <si>
    <t>End of Year 1</t>
  </si>
  <si>
    <t>Next smallest</t>
  </si>
  <si>
    <t>Next</t>
  </si>
  <si>
    <t>Quick wins with small debts eliminated first</t>
  </si>
  <si>
    <t>Visible progress keeps you engaged</t>
  </si>
  <si>
    <t>Multiple celebration points as you go</t>
  </si>
  <si>
    <t>Just pay smallest balance, ignore interest rates</t>
  </si>
  <si>
    <t>Success breeds more commitment</t>
  </si>
  <si>
    <t>Ignores high-interest debts that hurt more</t>
  </si>
  <si>
    <t>May take months/years longer than avalanche</t>
  </si>
  <si>
    <t>Mathematically less optimal</t>
  </si>
  <si>
    <t>Payment (₹)</t>
  </si>
  <si>
    <t>Current Balance</t>
  </si>
  <si>
    <t>Balance</t>
  </si>
  <si>
    <t>Interest (₹)</t>
  </si>
  <si>
    <t>Debts fully paid off</t>
  </si>
  <si>
    <t>Interest Rate</t>
  </si>
  <si>
    <t>Rate</t>
  </si>
  <si>
    <t>Principal (₹)</t>
  </si>
  <si>
    <t>Payoff Time (approx.)</t>
  </si>
  <si>
    <t>Months</t>
  </si>
  <si>
    <t>Remaining (₹)</t>
  </si>
  <si>
    <t>SNOWBALL METHOD - PSYCHOLOGICAL APPROACH</t>
  </si>
  <si>
    <t>Avalanche Strategy: Pay highest interest rate first (regardless of balance)</t>
  </si>
  <si>
    <t>Benefit: Saves the most interest money over time</t>
  </si>
  <si>
    <t>Approach: Minimum payment on all, extra towards highest interest debt</t>
  </si>
  <si>
    <t>AVALANCHE PAYOFF SCHEDULE</t>
  </si>
  <si>
    <t>AVALANCHE PAYOFF ORDER (by interest rate - highest first)</t>
  </si>
  <si>
    <t>AVALANCHE ADVANTAGES</t>
  </si>
  <si>
    <t>✓ Saves Maximum Interest</t>
  </si>
  <si>
    <t>✓ Mathematically Optimal</t>
  </si>
  <si>
    <t>✓ Fastest Total Payoff</t>
  </si>
  <si>
    <t>✓ Cost-Efficient</t>
  </si>
  <si>
    <t>✓ Recommended by Finance Experts</t>
  </si>
  <si>
    <t>AVALANCHE DISADVANTAGES</t>
  </si>
  <si>
    <t>✗ Slower Early Wins</t>
  </si>
  <si>
    <t>✗ Requires Discipline</t>
  </si>
  <si>
    <t>✗ Motivation Challenge</t>
  </si>
  <si>
    <t>Debt Priority (by interest rate)</t>
  </si>
  <si>
    <t>Target: Highest interest debt</t>
  </si>
  <si>
    <t>Continue highest rate</t>
  </si>
  <si>
    <t>Move to next highest</t>
  </si>
  <si>
    <t>Continue avalanche</t>
  </si>
  <si>
    <t>Accelerating payoff</t>
  </si>
  <si>
    <t>Interest costs dropping</t>
  </si>
  <si>
    <t>Next highest</t>
  </si>
  <si>
    <t>Target highest-cost debts first</t>
  </si>
  <si>
    <t>Most efficient path to debt freedom</t>
  </si>
  <si>
    <t>Reduced compound interest over time</t>
  </si>
  <si>
    <t>Saves thousands in interest</t>
  </si>
  <si>
    <t>Endorsed by financial advisors</t>
  </si>
  <si>
    <t>High interest debts take longer</t>
  </si>
  <si>
    <t>No quick small debt victories</t>
  </si>
  <si>
    <t>May feel less progress initially</t>
  </si>
  <si>
    <t>AVALANCHE METHOD - MATHEMATICAL APPROACH</t>
  </si>
  <si>
    <t>Instructions: Select your preferred strategy (Snowball/Avalanche) above. Enter extra monthly payment capacity.</t>
  </si>
  <si>
    <t>MONTHLY PAYMENT SCHEDULE (12-Month View)</t>
  </si>
  <si>
    <t>ANNUAL SUMMARY</t>
  </si>
  <si>
    <t>Year</t>
  </si>
  <si>
    <t>Year 1</t>
  </si>
  <si>
    <t>Year 2</t>
  </si>
  <si>
    <t>Year 3</t>
  </si>
  <si>
    <t>Year 4</t>
  </si>
  <si>
    <t>Year 5</t>
  </si>
  <si>
    <t>CUMULATIVE STATISTICS</t>
  </si>
  <si>
    <t>Total Paid to Date</t>
  </si>
  <si>
    <t>Total Interest Paid</t>
  </si>
  <si>
    <t>Total Principal Paid</t>
  </si>
  <si>
    <t>Progress %</t>
  </si>
  <si>
    <t>INDIVIDUAL DEBT TRACKER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</si>
  <si>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</si>
  <si>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</si>
  <si>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</si>
  <si>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</si>
  <si>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</si>
  <si>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</si>
  <si>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</si>
  <si>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</si>
  <si>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</si>
  <si>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</si>
  <si>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</si>
  <si>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</si>
  <si>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Total Paid (₹)</t>
  </si>
  <si>
    <t>Original Balance</t>
  </si>
  <si>
    <t>Total Payment (₹)</t>
  </si>
  <si>
    <t>Interest Paid (₹)</t>
  </si>
  <si>
    <t>Principal Paid (₹)</t>
  </si>
  <si>
    <t>How much paid off</t>
  </si>
  <si>
    <t>Debt Remaining (₹)</t>
  </si>
  <si>
    <t>Total Remaining Debt (₹)</t>
  </si>
  <si>
    <t>DETAILED PAYMENT TRACKER &amp; AMORTIZATION SCHEDULE</t>
  </si>
  <si>
    <t>Understand how much interest you pay and how to minimize it.</t>
  </si>
  <si>
    <t>YOUR INTEREST BREAKDOWN</t>
  </si>
  <si>
    <t>Debt Type</t>
  </si>
  <si>
    <t>TOTAL INTEREST BURDEN</t>
  </si>
  <si>
    <t>Total Monthly Interest</t>
  </si>
  <si>
    <t>Total Annual Interest</t>
  </si>
  <si>
    <t>Total Interest Over Lifetime</t>
  </si>
  <si>
    <t>INTEREST REDUCTION STRATEGIES</t>
  </si>
  <si>
    <t>Pay more than minimum</t>
  </si>
  <si>
    <t>Negotiate lower rates</t>
  </si>
  <si>
    <t>Balance transfer (credit card)</t>
  </si>
  <si>
    <t>Consolidation loan</t>
  </si>
  <si>
    <t>Debt settlement</t>
  </si>
  <si>
    <t>PAYOFF SPEED SCENARIOS</t>
  </si>
  <si>
    <t>Scenario</t>
  </si>
  <si>
    <t>Minimum Payments Only</t>
  </si>
  <si>
    <t>Minimum + ₹5,000 extra</t>
  </si>
  <si>
    <t>Minimum + ₹10,000 extra</t>
  </si>
  <si>
    <t>Minimum + ₹15,000 extra</t>
  </si>
  <si>
    <t>INTEREST COMPARISON: OLD vs NEW SCENARIO</t>
  </si>
  <si>
    <t>Current Situation</t>
  </si>
  <si>
    <t>With ₹5k Extra/Month</t>
  </si>
  <si>
    <t>After Negotiated Rates -2%</t>
  </si>
  <si>
    <t>Ideal Scenario (All optimized)</t>
  </si>
  <si>
    <t>Balance (₹)</t>
  </si>
  <si>
    <t>Action</t>
  </si>
  <si>
    <t>Add extra ₹2,000-5,000/month to highest interest debt</t>
  </si>
  <si>
    <t>Call lender, ask for rate reduction (credit card: 8-15% reduction)</t>
  </si>
  <si>
    <t>Move 0% intro APR card (12-18 months interest-free)</t>
  </si>
  <si>
    <t>Roll multiple debts into single lower-rate loan</t>
  </si>
  <si>
    <t>Negotiate to pay lump sum (impacts credit score)</t>
  </si>
  <si>
    <t>Potential Savings (₹)</t>
  </si>
  <si>
    <t>Debt-Free In</t>
  </si>
  <si>
    <t>60+ months</t>
  </si>
  <si>
    <t>36-42 months</t>
  </si>
  <si>
    <t>24-30 months</t>
  </si>
  <si>
    <t>18-24 months</t>
  </si>
  <si>
    <t>Avg Interest Rate</t>
  </si>
  <si>
    <t>Monthly Interest (₹)</t>
  </si>
  <si>
    <t>Interest cost each month</t>
  </si>
  <si>
    <t>Interest cost per year</t>
  </si>
  <si>
    <t>If maintained 3 years</t>
  </si>
  <si>
    <t>Difficulty</t>
  </si>
  <si>
    <t>Medium</t>
  </si>
  <si>
    <t>High</t>
  </si>
  <si>
    <t>Very High</t>
  </si>
  <si>
    <t>Annual Interest (₹)</t>
  </si>
  <si>
    <t>Monthly vs Minimum</t>
  </si>
  <si>
    <t>Current pace</t>
  </si>
  <si>
    <t>18-24 months faster</t>
  </si>
  <si>
    <t>30-36 months faster</t>
  </si>
  <si>
    <t>36+ months faster</t>
  </si>
  <si>
    <t>Total Interest (Lifetime)</t>
  </si>
  <si>
    <t>% of Total Interest</t>
  </si>
  <si>
    <t>Debt-Free Date</t>
  </si>
  <si>
    <t>6 months sooner</t>
  </si>
  <si>
    <t>12 months sooner</t>
  </si>
  <si>
    <t>24 months sooner</t>
  </si>
  <si>
    <t>INTEREST ANALYSIS &amp; SAVINGS CALCULATOR</t>
  </si>
  <si>
    <t>Track your journey to financial freedom with these celebration points.</t>
  </si>
  <si>
    <t>MAJOR MILESTONES</t>
  </si>
  <si>
    <t>1st Debt Eliminated</t>
  </si>
  <si>
    <t>25% CLEARED 🎯</t>
  </si>
  <si>
    <t>50% CLEARED (Halfway!) 🎉</t>
  </si>
  <si>
    <t>75% CLEARED 💪</t>
  </si>
  <si>
    <t>ALL DEBTS CLEARED! 🏆</t>
  </si>
  <si>
    <t>MONTHLY PROGRESS CHECKLIST</t>
  </si>
  <si>
    <t>Month 1</t>
  </si>
  <si>
    <t>Month 2</t>
  </si>
  <si>
    <t>Month 3</t>
  </si>
  <si>
    <t>Month 4</t>
  </si>
  <si>
    <t>Month 5</t>
  </si>
  <si>
    <t>Month 6</t>
  </si>
  <si>
    <t>Month 9</t>
  </si>
  <si>
    <t>Month 12</t>
  </si>
  <si>
    <t>Month 18</t>
  </si>
  <si>
    <t>Month 24</t>
  </si>
  <si>
    <t>CELEBRATING YOUR WINS</t>
  </si>
  <si>
    <t>When You Hit This Milestone</t>
  </si>
  <si>
    <t>1st Debt Paid Off</t>
  </si>
  <si>
    <t>25% Progress</t>
  </si>
  <si>
    <t>50% Progress (Halfway!)</t>
  </si>
  <si>
    <t>75% Progress</t>
  </si>
  <si>
    <t>POST-DEBT PLANNING</t>
  </si>
  <si>
    <t>After You're Debt Free</t>
  </si>
  <si>
    <t>Emergency Fund</t>
  </si>
  <si>
    <t>Start Investing</t>
  </si>
  <si>
    <t>Build Credit</t>
  </si>
  <si>
    <t>Plan for Goals</t>
  </si>
  <si>
    <t>Target</t>
  </si>
  <si>
    <t>Month 3-4</t>
  </si>
  <si>
    <t>Month 6-9</t>
  </si>
  <si>
    <t>Month 12-15</t>
  </si>
  <si>
    <t>Month 18-24</t>
  </si>
  <si>
    <t>Target Action</t>
  </si>
  <si>
    <t>Set up auto-payments, pick strategy</t>
  </si>
  <si>
    <t>Continue payments, no new debt</t>
  </si>
  <si>
    <t>Review progress, celebrate first savings</t>
  </si>
  <si>
    <t>Negotiate lower rates if possible</t>
  </si>
  <si>
    <t>Add any bonus/tax refund to debt</t>
  </si>
  <si>
    <t>Celebrate 25% progress!</t>
  </si>
  <si>
    <t>Hitting momentum - continue!</t>
  </si>
  <si>
    <t>Review annual progress, adjust if needed</t>
  </si>
  <si>
    <t>Celebrate 75% progress!</t>
  </si>
  <si>
    <t>DEBT FREEDOM! 🎉</t>
  </si>
  <si>
    <t>Celebrate By</t>
  </si>
  <si>
    <t>Small celebration (₹500-1000)</t>
  </si>
  <si>
    <t>Weekend getaway or shopping spree</t>
  </si>
  <si>
    <t>Bigger celebration!</t>
  </si>
  <si>
    <t>Splurge on yourself</t>
  </si>
  <si>
    <t>Major celebration! 🎊</t>
  </si>
  <si>
    <t>Build 6 months expenses</t>
  </si>
  <si>
    <t>Begin SIP/ELSS for wealth building</t>
  </si>
  <si>
    <t>Get credit card, use responsibly</t>
  </si>
  <si>
    <t>Vacation, home, education, retirement</t>
  </si>
  <si>
    <t>Reward Budget</t>
  </si>
  <si>
    <t>Budget: ₹500-1000</t>
  </si>
  <si>
    <t>Budget: ₹2,000-3,000</t>
  </si>
  <si>
    <t>Budget: ₹5,000-10,000</t>
  </si>
  <si>
    <t>Budget: ₹15,000-25,000</t>
  </si>
  <si>
    <t>Timeline</t>
  </si>
  <si>
    <t>1-2 months</t>
  </si>
  <si>
    <t>Immediately</t>
  </si>
  <si>
    <t>3-6 months</t>
  </si>
  <si>
    <t>Ongoing</t>
  </si>
  <si>
    <t>Amount Cleared</t>
  </si>
  <si>
    <t>Interest Saved</t>
  </si>
  <si>
    <t>Track start</t>
  </si>
  <si>
    <t>Notes</t>
  </si>
  <si>
    <t>Cinema, dinner, or treat</t>
  </si>
  <si>
    <t>Mini vacation or hobby items</t>
  </si>
  <si>
    <t>Trip, gadget, or experience</t>
  </si>
  <si>
    <t>Something you've wanted</t>
  </si>
  <si>
    <t>Vacation, investment start, or big purchase</t>
  </si>
  <si>
    <t>Benefit</t>
  </si>
  <si>
    <t>Financial security</t>
  </si>
  <si>
    <t>Long-term growth</t>
  </si>
  <si>
    <t>Better future rates</t>
  </si>
  <si>
    <t>Quality of life</t>
  </si>
  <si>
    <t>25%</t>
  </si>
  <si>
    <t>50%</t>
  </si>
  <si>
    <t>75%</t>
  </si>
  <si>
    <t>Motivation Level</t>
  </si>
  <si>
    <t>🔥 High</t>
  </si>
  <si>
    <t>😊 Good</t>
  </si>
  <si>
    <t>🏆 Victorious</t>
  </si>
  <si>
    <t>Track smallest</t>
  </si>
  <si>
    <t>Celebrate!</t>
  </si>
  <si>
    <t>Major milestone!</t>
  </si>
  <si>
    <t>Almost free!</t>
  </si>
  <si>
    <t>DEBT FREE!</t>
  </si>
  <si>
    <t>Establish routine</t>
  </si>
  <si>
    <t>Stay committed</t>
  </si>
  <si>
    <t>First debt closing?</t>
  </si>
  <si>
    <t>Check credit report</t>
  </si>
  <si>
    <t>Extra payment boost</t>
  </si>
  <si>
    <t>Quarter down!</t>
  </si>
  <si>
    <t>3 months in!</t>
  </si>
  <si>
    <t>Halfway milestone!</t>
  </si>
  <si>
    <t>Final stretch!</t>
  </si>
  <si>
    <t>You did it!</t>
  </si>
  <si>
    <t>DEBT FREEDOM MILESTONES &amp; PROGRESS TRACKER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</si>
</sst>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width="41.7109375" customWidth="1"/>
    <col min="2" max="3" width="50.7109375" customWidth="1"/>
    <col min="4" max="4" width="48.7109375" customWidth="1"/>
    <col min="5" max="5" width="23.7109375" customWidth="1"/>
  </cols>
  <sheetData>
    <row r="1" spans="1:5">
      <c r="A1" t="s">
        <v>59</v>
      </c>
    </row>
    <row r="3" spans="1:5">
      <c r="A3" t="s">
        <v>0</v>
      </c>
    </row>
    <row r="4" spans="1:5">
      <c r="A4" t="s">
        <v>1</v>
      </c>
      <c r="B4" t="s">
        <v>28</v>
      </c>
      <c r="C4">
        <f>SUM('Debt Inventory'!D5:D14)</f>
        <v>0</v>
      </c>
    </row>
    <row r="5" spans="1:5">
      <c r="A5" t="s">
        <v>2</v>
      </c>
      <c r="B5" t="s">
        <v>28</v>
      </c>
      <c r="C5">
        <f>SUM('Payment Schedule'!D6:D35)</f>
        <v>0</v>
      </c>
    </row>
    <row r="6" spans="1:5">
      <c r="A6" t="s">
        <v>3</v>
      </c>
      <c r="B6" t="s">
        <v>28</v>
      </c>
      <c r="C6">
        <f>SUM('Payment Schedule'!E6:E35)</f>
        <v>0</v>
      </c>
    </row>
    <row r="8" spans="1:5">
      <c r="A8" t="s">
        <v>4</v>
      </c>
    </row>
    <row r="9" spans="1:5">
      <c r="A9" t="s">
        <v>5</v>
      </c>
      <c r="B9" t="s">
        <v>29</v>
      </c>
      <c r="C9" t="s">
        <v>36</v>
      </c>
      <c r="D9" t="s">
        <v>45</v>
      </c>
      <c r="E9" t="s">
        <v>56</v>
      </c>
    </row>
    <row r="10" spans="1:5">
      <c r="A10" t="s">
        <v>6</v>
      </c>
      <c r="B10">
        <f>IF('Debt List'!D3=0,"Customize","See Snowball")</f>
        <v>0</v>
      </c>
      <c r="C10">
        <f>IF('Debt List'!D3=0,"--","Optimized")</f>
        <v>0</v>
      </c>
      <c r="D10">
        <f>IF('Debt List'!D3=0,"--","Faster motivation")</f>
        <v>0</v>
      </c>
      <c r="E10" t="s">
        <v>57</v>
      </c>
    </row>
    <row r="11" spans="1:5">
      <c r="A11" t="s">
        <v>7</v>
      </c>
      <c r="B11">
        <f>IF('Debt List'!D3=0,"Customize","See Avalanche")</f>
        <v>0</v>
      </c>
      <c r="C11">
        <f>IF('Debt List'!D3=0,"--","Optimized")</f>
        <v>0</v>
      </c>
      <c r="D11">
        <f>IF('Debt List'!D3=0,"--","Maximum savings")</f>
        <v>0</v>
      </c>
      <c r="E11" t="s">
        <v>58</v>
      </c>
    </row>
    <row r="13" spans="1:5">
      <c r="A13" t="s">
        <v>8</v>
      </c>
    </row>
    <row r="14" spans="1:5">
      <c r="A14" t="s">
        <v>9</v>
      </c>
      <c r="B14" t="s">
        <v>30</v>
      </c>
      <c r="C14">
        <f>IF('Debt List'!D3=0,"Enter debts","Calculate")</f>
        <v>0</v>
      </c>
    </row>
    <row r="15" spans="1:5">
      <c r="A15" t="s">
        <v>10</v>
      </c>
      <c r="B15" t="s">
        <v>30</v>
      </c>
      <c r="C15">
        <f>IF('Debt List'!D3=0,"Enter debts","Calculate")</f>
        <v>0</v>
      </c>
    </row>
    <row r="16" spans="1:5">
      <c r="A16" t="s">
        <v>11</v>
      </c>
      <c r="B16" t="s">
        <v>31</v>
      </c>
      <c r="C16">
        <f>IF('Debt List'!D3=0,0,"0-36 months typical")</f>
        <v>0</v>
      </c>
    </row>
    <row r="18" spans="1:4">
      <c r="A18" t="s">
        <v>12</v>
      </c>
    </row>
    <row r="19" spans="1:4">
      <c r="A19" t="s">
        <v>13</v>
      </c>
      <c r="B19" t="s">
        <v>32</v>
      </c>
      <c r="C19" t="s">
        <v>37</v>
      </c>
      <c r="D19" t="s">
        <v>46</v>
      </c>
    </row>
    <row r="20" spans="1:4">
      <c r="A20" t="s">
        <v>14</v>
      </c>
      <c r="B20">
        <f>SUM('Snowball'!E:E)</f>
        <v>0</v>
      </c>
      <c r="C20" t="s">
        <v>38</v>
      </c>
      <c r="D20" t="s">
        <v>47</v>
      </c>
    </row>
    <row r="21" spans="1:4">
      <c r="A21" t="s">
        <v>15</v>
      </c>
      <c r="B21">
        <f>SUM('Avalanche'!E:E)</f>
        <v>0</v>
      </c>
      <c r="C21" t="s">
        <v>38</v>
      </c>
      <c r="D21" t="s">
        <v>48</v>
      </c>
    </row>
    <row r="22" spans="1:4">
      <c r="A22" t="s">
        <v>16</v>
      </c>
      <c r="B22">
        <f>(SUM('Snowball'!E:E)-SUM('Avalanche'!E:E))</f>
        <v>0</v>
      </c>
      <c r="C22">
        <f>(((SUM('Snowball'!E:E)-SUM('Avalanche'!E:E))/SUM('Snowball'!E:E))*100)%</f>
        <v>0</v>
      </c>
      <c r="D22" t="s">
        <v>49</v>
      </c>
    </row>
    <row r="24" spans="1:4">
      <c r="A24" t="s">
        <v>17</v>
      </c>
    </row>
    <row r="25" spans="1:4">
      <c r="A25" t="s">
        <v>18</v>
      </c>
      <c r="B25" t="s">
        <v>33</v>
      </c>
      <c r="C25" t="s">
        <v>39</v>
      </c>
      <c r="D25" t="s">
        <v>50</v>
      </c>
    </row>
    <row r="26" spans="1:4">
      <c r="A26" t="s">
        <v>19</v>
      </c>
      <c r="B26" t="s">
        <v>34</v>
      </c>
      <c r="C26">
        <f>('Dashboard'!B3*0.75)</f>
        <v>0</v>
      </c>
      <c r="D26" t="s">
        <v>51</v>
      </c>
    </row>
    <row r="27" spans="1:4">
      <c r="A27" t="s">
        <v>20</v>
      </c>
      <c r="B27" t="s">
        <v>34</v>
      </c>
      <c r="C27">
        <f>('Dashboard'!B3*0.50)</f>
        <v>0</v>
      </c>
      <c r="D27" t="s">
        <v>52</v>
      </c>
    </row>
    <row r="28" spans="1:4">
      <c r="A28" t="s">
        <v>21</v>
      </c>
      <c r="B28" t="s">
        <v>34</v>
      </c>
      <c r="C28">
        <f>('Dashboard'!B3*0.25)</f>
        <v>0</v>
      </c>
      <c r="D28" t="s">
        <v>53</v>
      </c>
    </row>
    <row r="29" spans="1:4">
      <c r="A29" t="s">
        <v>22</v>
      </c>
      <c r="B29" t="s">
        <v>34</v>
      </c>
      <c r="C29" t="s">
        <v>40</v>
      </c>
      <c r="D29" t="s">
        <v>54</v>
      </c>
    </row>
    <row r="31" spans="1:4">
      <c r="A31" t="s">
        <v>23</v>
      </c>
    </row>
    <row r="32" spans="1:4">
      <c r="A32" t="s">
        <v>24</v>
      </c>
      <c r="B32">
        <f>AVERAGE('Debt Inventory'!C5:C14)%</f>
        <v>0</v>
      </c>
      <c r="C32" t="s">
        <v>41</v>
      </c>
    </row>
    <row r="33" spans="1:4">
      <c r="A33" t="s">
        <v>25</v>
      </c>
      <c r="B33" t="s">
        <v>35</v>
      </c>
      <c r="C33" t="s">
        <v>42</v>
      </c>
    </row>
    <row r="34" spans="1:4">
      <c r="A34" t="s">
        <v>26</v>
      </c>
      <c r="B34" t="s">
        <v>28</v>
      </c>
      <c r="C34" t="s">
        <v>43</v>
      </c>
      <c r="D34" t="s">
        <v>55</v>
      </c>
    </row>
    <row r="35" spans="1:4">
      <c r="A35" t="s">
        <v>27</v>
      </c>
      <c r="B35">
        <f>IF('Dashboard'!B3=0,0,('Dashboard'!B3)/('Dashboard'!B4*12))%</f>
        <v>0</v>
      </c>
      <c r="C3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50.7109375" customWidth="1"/>
    <col min="2" max="2" width="15.7109375" customWidth="1"/>
    <col min="3" max="3" width="19.7109375" customWidth="1"/>
    <col min="4" max="4" width="21.7109375" customWidth="1"/>
    <col min="5" max="5" width="26.7109375" customWidth="1"/>
  </cols>
  <sheetData>
    <row r="1" spans="1:5">
      <c r="A1" t="s">
        <v>90</v>
      </c>
    </row>
    <row r="3" spans="1:5">
      <c r="A3" t="s">
        <v>60</v>
      </c>
    </row>
    <row r="5" spans="1:5">
      <c r="A5" t="s">
        <v>61</v>
      </c>
    </row>
    <row r="6" spans="1:5">
      <c r="A6" t="s">
        <v>62</v>
      </c>
      <c r="B6" t="s">
        <v>78</v>
      </c>
      <c r="C6" t="s">
        <v>87</v>
      </c>
      <c r="D6" t="s">
        <v>88</v>
      </c>
      <c r="E6" t="s">
        <v>89</v>
      </c>
    </row>
    <row r="7" spans="1:5">
      <c r="A7" t="s">
        <v>63</v>
      </c>
      <c r="B7" t="s">
        <v>79</v>
      </c>
      <c r="C7" t="s">
        <v>43</v>
      </c>
      <c r="D7" t="s">
        <v>43</v>
      </c>
      <c r="E7" t="s">
        <v>43</v>
      </c>
    </row>
    <row r="8" spans="1:5">
      <c r="A8" t="s">
        <v>64</v>
      </c>
      <c r="B8" t="s">
        <v>79</v>
      </c>
      <c r="C8" t="s">
        <v>43</v>
      </c>
      <c r="D8" t="s">
        <v>43</v>
      </c>
      <c r="E8" t="s">
        <v>43</v>
      </c>
    </row>
    <row r="9" spans="1:5">
      <c r="A9" t="s">
        <v>65</v>
      </c>
      <c r="B9" t="s">
        <v>80</v>
      </c>
      <c r="C9" t="s">
        <v>43</v>
      </c>
      <c r="D9" t="s">
        <v>43</v>
      </c>
      <c r="E9" t="s">
        <v>43</v>
      </c>
    </row>
    <row r="10" spans="1:5">
      <c r="A10" t="s">
        <v>66</v>
      </c>
      <c r="B10" t="s">
        <v>81</v>
      </c>
      <c r="C10" t="s">
        <v>43</v>
      </c>
      <c r="D10" t="s">
        <v>43</v>
      </c>
      <c r="E10" t="s">
        <v>43</v>
      </c>
    </row>
    <row r="11" spans="1:5">
      <c r="A11" t="s">
        <v>67</v>
      </c>
      <c r="B11" t="s">
        <v>82</v>
      </c>
      <c r="C11" t="s">
        <v>43</v>
      </c>
      <c r="D11" t="s">
        <v>43</v>
      </c>
      <c r="E11" t="s">
        <v>43</v>
      </c>
    </row>
    <row r="12" spans="1:5">
      <c r="A12" t="s">
        <v>68</v>
      </c>
      <c r="B12" t="s">
        <v>83</v>
      </c>
      <c r="C12" t="s">
        <v>43</v>
      </c>
      <c r="D12" t="s">
        <v>43</v>
      </c>
      <c r="E12" t="s">
        <v>43</v>
      </c>
    </row>
    <row r="13" spans="1:5">
      <c r="A13" t="s">
        <v>69</v>
      </c>
      <c r="B13" t="s">
        <v>84</v>
      </c>
      <c r="C13" t="s">
        <v>43</v>
      </c>
      <c r="D13" t="s">
        <v>43</v>
      </c>
      <c r="E13" t="s">
        <v>43</v>
      </c>
    </row>
    <row r="14" spans="1:5">
      <c r="A14" t="s">
        <v>70</v>
      </c>
      <c r="B14" t="s">
        <v>85</v>
      </c>
      <c r="C14" t="s">
        <v>43</v>
      </c>
      <c r="D14" t="s">
        <v>43</v>
      </c>
      <c r="E14" t="s">
        <v>43</v>
      </c>
    </row>
    <row r="15" spans="1:5">
      <c r="A15" t="s">
        <v>71</v>
      </c>
      <c r="B15" t="s">
        <v>86</v>
      </c>
      <c r="C15" t="s">
        <v>43</v>
      </c>
      <c r="D15" t="s">
        <v>43</v>
      </c>
      <c r="E15" t="s">
        <v>43</v>
      </c>
    </row>
    <row r="16" spans="1:5">
      <c r="A16" t="s">
        <v>72</v>
      </c>
      <c r="B16" t="s">
        <v>84</v>
      </c>
      <c r="C16" t="s">
        <v>43</v>
      </c>
      <c r="D16" t="s">
        <v>43</v>
      </c>
      <c r="E16" t="s">
        <v>43</v>
      </c>
    </row>
    <row r="18" spans="1:3">
      <c r="A18" t="s">
        <v>73</v>
      </c>
    </row>
    <row r="19" spans="1:3">
      <c r="A19" t="s">
        <v>74</v>
      </c>
      <c r="B19" t="s">
        <v>28</v>
      </c>
      <c r="C19">
        <f>SUM(D5:D14)</f>
        <v>0</v>
      </c>
    </row>
    <row r="20" spans="1:3">
      <c r="A20" t="s">
        <v>75</v>
      </c>
      <c r="B20" t="s">
        <v>28</v>
      </c>
      <c r="C20">
        <f>SUM(E5:E14)</f>
        <v>0</v>
      </c>
    </row>
    <row r="21" spans="1:3">
      <c r="A21" t="s">
        <v>24</v>
      </c>
      <c r="C21">
        <f>AVERAGE(C5:C14)%</f>
        <v>0</v>
      </c>
    </row>
    <row r="22" spans="1:3">
      <c r="A22" t="s">
        <v>25</v>
      </c>
      <c r="C22">
        <f>MAX(C5:C14)%</f>
        <v>0</v>
      </c>
    </row>
    <row r="23" spans="1:3">
      <c r="A23" t="s">
        <v>76</v>
      </c>
      <c r="C23">
        <f>MIN(C5:C14)%</f>
        <v>0</v>
      </c>
    </row>
    <row r="24" spans="1:3">
      <c r="A24" t="s">
        <v>77</v>
      </c>
      <c r="C24">
        <f>COUNTA(A5:A14)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2" width="50.7109375" customWidth="1"/>
    <col min="3" max="3" width="31.7109375" customWidth="1"/>
    <col min="4" max="4" width="50.7109375" customWidth="1"/>
    <col min="5" max="5" width="23.7109375" customWidth="1"/>
    <col min="6" max="6" width="15.7109375" customWidth="1"/>
  </cols>
  <sheetData>
    <row r="1" spans="1:6">
      <c r="A1" t="s">
        <v>156</v>
      </c>
    </row>
    <row r="3" spans="1:6">
      <c r="A3" t="s">
        <v>91</v>
      </c>
    </row>
    <row r="4" spans="1:6">
      <c r="A4" t="s">
        <v>92</v>
      </c>
    </row>
    <row r="5" spans="1:6">
      <c r="A5" t="s">
        <v>93</v>
      </c>
    </row>
    <row r="7" spans="1:6">
      <c r="A7" t="s">
        <v>94</v>
      </c>
    </row>
    <row r="8" spans="1:6">
      <c r="A8" t="s">
        <v>95</v>
      </c>
      <c r="B8" t="s">
        <v>126</v>
      </c>
      <c r="C8" t="s">
        <v>145</v>
      </c>
      <c r="D8" t="s">
        <v>148</v>
      </c>
      <c r="E8" t="s">
        <v>152</v>
      </c>
      <c r="F8" t="s">
        <v>155</v>
      </c>
    </row>
    <row r="9" spans="1:6">
      <c r="A9" t="s">
        <v>96</v>
      </c>
      <c r="B9" t="s">
        <v>127</v>
      </c>
      <c r="C9" t="s">
        <v>43</v>
      </c>
      <c r="D9" t="s">
        <v>43</v>
      </c>
      <c r="E9" t="s">
        <v>43</v>
      </c>
      <c r="F9" t="s">
        <v>43</v>
      </c>
    </row>
    <row r="10" spans="1:6">
      <c r="A10" t="s">
        <v>97</v>
      </c>
      <c r="B10" t="s">
        <v>128</v>
      </c>
      <c r="C10" t="s">
        <v>43</v>
      </c>
      <c r="D10" t="s">
        <v>43</v>
      </c>
      <c r="E10" t="s">
        <v>43</v>
      </c>
      <c r="F10" t="s">
        <v>43</v>
      </c>
    </row>
    <row r="11" spans="1:6">
      <c r="A11" t="s">
        <v>98</v>
      </c>
      <c r="B11" t="s">
        <v>128</v>
      </c>
      <c r="C11" t="s">
        <v>43</v>
      </c>
      <c r="D11" t="s">
        <v>43</v>
      </c>
      <c r="E11" t="s">
        <v>43</v>
      </c>
      <c r="F11" t="s">
        <v>43</v>
      </c>
    </row>
    <row r="12" spans="1:6">
      <c r="A12" t="s">
        <v>99</v>
      </c>
      <c r="B12" t="s">
        <v>128</v>
      </c>
      <c r="C12" t="s">
        <v>43</v>
      </c>
      <c r="D12" t="s">
        <v>43</v>
      </c>
      <c r="E12" t="s">
        <v>43</v>
      </c>
      <c r="F12" t="s">
        <v>43</v>
      </c>
    </row>
    <row r="13" spans="1:6">
      <c r="A13" t="s">
        <v>100</v>
      </c>
      <c r="B13" t="s">
        <v>128</v>
      </c>
      <c r="C13" t="s">
        <v>43</v>
      </c>
      <c r="D13" t="s">
        <v>43</v>
      </c>
      <c r="E13" t="s">
        <v>43</v>
      </c>
      <c r="F13" t="s">
        <v>43</v>
      </c>
    </row>
    <row r="14" spans="1:6">
      <c r="A14" t="s">
        <v>101</v>
      </c>
      <c r="B14" t="s">
        <v>128</v>
      </c>
      <c r="C14" t="s">
        <v>43</v>
      </c>
      <c r="D14" t="s">
        <v>43</v>
      </c>
      <c r="E14" t="s">
        <v>43</v>
      </c>
      <c r="F14" t="s">
        <v>43</v>
      </c>
    </row>
    <row r="15" spans="1:6">
      <c r="A15" t="s">
        <v>102</v>
      </c>
      <c r="B15" t="s">
        <v>129</v>
      </c>
      <c r="C15" t="s">
        <v>43</v>
      </c>
      <c r="D15" t="s">
        <v>43</v>
      </c>
      <c r="E15" t="s">
        <v>43</v>
      </c>
      <c r="F15" t="s">
        <v>43</v>
      </c>
    </row>
    <row r="16" spans="1:6">
      <c r="A16" t="s">
        <v>103</v>
      </c>
      <c r="B16" t="s">
        <v>130</v>
      </c>
      <c r="C16" t="s">
        <v>43</v>
      </c>
      <c r="D16" t="s">
        <v>43</v>
      </c>
      <c r="E16" t="s">
        <v>43</v>
      </c>
      <c r="F16" t="s">
        <v>43</v>
      </c>
    </row>
    <row r="17" spans="1:6">
      <c r="A17" t="s">
        <v>104</v>
      </c>
      <c r="B17" t="s">
        <v>131</v>
      </c>
      <c r="C17" t="s">
        <v>43</v>
      </c>
      <c r="D17" t="s">
        <v>43</v>
      </c>
      <c r="E17" t="s">
        <v>43</v>
      </c>
      <c r="F17" t="s">
        <v>43</v>
      </c>
    </row>
    <row r="18" spans="1:6">
      <c r="A18" t="s">
        <v>105</v>
      </c>
      <c r="B18" t="s">
        <v>132</v>
      </c>
      <c r="C18" t="s">
        <v>43</v>
      </c>
      <c r="D18" t="s">
        <v>43</v>
      </c>
      <c r="E18" t="s">
        <v>43</v>
      </c>
      <c r="F18" t="s">
        <v>43</v>
      </c>
    </row>
    <row r="19" spans="1:6">
      <c r="A19" t="s">
        <v>106</v>
      </c>
      <c r="B19" t="s">
        <v>133</v>
      </c>
      <c r="C19" t="s">
        <v>43</v>
      </c>
      <c r="D19" t="s">
        <v>43</v>
      </c>
      <c r="E19" t="s">
        <v>43</v>
      </c>
      <c r="F19" t="s">
        <v>43</v>
      </c>
    </row>
    <row r="20" spans="1:6">
      <c r="A20" t="s">
        <v>107</v>
      </c>
      <c r="B20" t="s">
        <v>134</v>
      </c>
      <c r="C20" t="s">
        <v>43</v>
      </c>
      <c r="D20" t="s">
        <v>43</v>
      </c>
      <c r="E20" t="s">
        <v>43</v>
      </c>
      <c r="F20" t="s">
        <v>43</v>
      </c>
    </row>
    <row r="22" spans="1:6">
      <c r="A22" t="s">
        <v>108</v>
      </c>
    </row>
    <row r="23" spans="1:6">
      <c r="A23" t="s">
        <v>109</v>
      </c>
      <c r="B23" t="s">
        <v>28</v>
      </c>
      <c r="C23">
        <f>SUM(C8:C19)</f>
        <v>0</v>
      </c>
    </row>
    <row r="24" spans="1:6">
      <c r="A24" t="s">
        <v>110</v>
      </c>
      <c r="B24" t="s">
        <v>28</v>
      </c>
      <c r="C24">
        <f>SUM(D8:D19)</f>
        <v>0</v>
      </c>
    </row>
    <row r="25" spans="1:6">
      <c r="A25" t="s">
        <v>111</v>
      </c>
      <c r="B25" t="s">
        <v>28</v>
      </c>
      <c r="C25">
        <f>SUM(E8:E19)</f>
        <v>0</v>
      </c>
    </row>
    <row r="26" spans="1:6">
      <c r="A26" t="s">
        <v>112</v>
      </c>
      <c r="C26">
        <f>COUNTIF(F8:F19,0)</f>
        <v>0</v>
      </c>
      <c r="D26" t="s">
        <v>149</v>
      </c>
    </row>
    <row r="27" spans="1:6">
      <c r="A27" t="s">
        <v>113</v>
      </c>
      <c r="B27" t="s">
        <v>28</v>
      </c>
      <c r="C27">
        <f>SUM(F8:F19)</f>
        <v>0</v>
      </c>
    </row>
    <row r="29" spans="1:6">
      <c r="A29" t="s">
        <v>114</v>
      </c>
    </row>
    <row r="30" spans="1:6">
      <c r="A30" t="s">
        <v>115</v>
      </c>
      <c r="B30" t="s">
        <v>62</v>
      </c>
      <c r="C30" t="s">
        <v>146</v>
      </c>
      <c r="D30" t="s">
        <v>150</v>
      </c>
      <c r="E30" t="s">
        <v>153</v>
      </c>
    </row>
    <row r="31" spans="1:6">
      <c r="A31" t="s">
        <v>96</v>
      </c>
      <c r="B31">
        <f>INDEX('Debt Inventory'!A5:A14,MATCH(MIN('Debt Inventory'!D5:D14),'Debt Inventory'!D5:D14,0))</f>
        <v>0</v>
      </c>
      <c r="C31">
        <f>MIN('Debt Inventory'!D5:D14)</f>
        <v>0</v>
      </c>
      <c r="D31">
        <f>INDEX('Debt Inventory'!C5:C14,MATCH(MIN('Debt Inventory'!D5:D14),'Debt Inventory'!D5:D14,0))</f>
        <v>0</v>
      </c>
      <c r="E31" t="s">
        <v>154</v>
      </c>
    </row>
    <row r="32" spans="1:6">
      <c r="A32" t="s">
        <v>97</v>
      </c>
      <c r="B32" t="s">
        <v>135</v>
      </c>
      <c r="C32" t="s">
        <v>147</v>
      </c>
      <c r="D32" t="s">
        <v>151</v>
      </c>
      <c r="E32" t="s">
        <v>154</v>
      </c>
    </row>
    <row r="33" spans="1:5">
      <c r="A33" t="s">
        <v>98</v>
      </c>
      <c r="B33" t="s">
        <v>136</v>
      </c>
      <c r="C33" t="s">
        <v>147</v>
      </c>
      <c r="D33" t="s">
        <v>151</v>
      </c>
      <c r="E33" t="s">
        <v>154</v>
      </c>
    </row>
    <row r="34" spans="1:5">
      <c r="A34" t="s">
        <v>99</v>
      </c>
      <c r="B34" t="s">
        <v>136</v>
      </c>
      <c r="C34" t="s">
        <v>147</v>
      </c>
      <c r="D34" t="s">
        <v>151</v>
      </c>
      <c r="E34" t="s">
        <v>154</v>
      </c>
    </row>
    <row r="35" spans="1:5">
      <c r="A35" t="s">
        <v>100</v>
      </c>
      <c r="B35" t="s">
        <v>136</v>
      </c>
      <c r="C35" t="s">
        <v>147</v>
      </c>
      <c r="D35" t="s">
        <v>151</v>
      </c>
      <c r="E35" t="s">
        <v>154</v>
      </c>
    </row>
    <row r="37" spans="1:5">
      <c r="A37" t="s">
        <v>116</v>
      </c>
    </row>
    <row r="38" spans="1:5">
      <c r="A38" t="s">
        <v>117</v>
      </c>
      <c r="B38" t="s">
        <v>137</v>
      </c>
    </row>
    <row r="39" spans="1:5">
      <c r="A39" t="s">
        <v>118</v>
      </c>
      <c r="B39" t="s">
        <v>138</v>
      </c>
    </row>
    <row r="40" spans="1:5">
      <c r="A40" t="s">
        <v>119</v>
      </c>
      <c r="B40" t="s">
        <v>139</v>
      </c>
    </row>
    <row r="41" spans="1:5">
      <c r="A41" t="s">
        <v>120</v>
      </c>
      <c r="B41" t="s">
        <v>140</v>
      </c>
    </row>
    <row r="42" spans="1:5">
      <c r="A42" t="s">
        <v>121</v>
      </c>
      <c r="B42" t="s">
        <v>141</v>
      </c>
    </row>
    <row r="44" spans="1:5">
      <c r="A44" t="s">
        <v>122</v>
      </c>
    </row>
    <row r="45" spans="1:5">
      <c r="A45" t="s">
        <v>123</v>
      </c>
      <c r="B45" t="s">
        <v>142</v>
      </c>
    </row>
    <row r="46" spans="1:5">
      <c r="A46" t="s">
        <v>124</v>
      </c>
      <c r="B46" t="s">
        <v>143</v>
      </c>
    </row>
    <row r="47" spans="1:5">
      <c r="A47" t="s">
        <v>125</v>
      </c>
      <c r="B47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3" width="50.7109375" customWidth="1"/>
    <col min="4" max="4" width="32.7109375" customWidth="1"/>
    <col min="5" max="5" width="23.7109375" customWidth="1"/>
    <col min="6" max="6" width="15.7109375" customWidth="1"/>
  </cols>
  <sheetData>
    <row r="1" spans="1:6">
      <c r="A1" t="s">
        <v>188</v>
      </c>
    </row>
    <row r="3" spans="1:6">
      <c r="A3" t="s">
        <v>157</v>
      </c>
    </row>
    <row r="4" spans="1:6">
      <c r="A4" t="s">
        <v>158</v>
      </c>
    </row>
    <row r="5" spans="1:6">
      <c r="A5" t="s">
        <v>159</v>
      </c>
    </row>
    <row r="7" spans="1:6">
      <c r="A7" t="s">
        <v>160</v>
      </c>
    </row>
    <row r="8" spans="1:6">
      <c r="A8" t="s">
        <v>95</v>
      </c>
      <c r="B8" t="s">
        <v>172</v>
      </c>
      <c r="C8" t="s">
        <v>145</v>
      </c>
      <c r="D8" t="s">
        <v>148</v>
      </c>
      <c r="E8" t="s">
        <v>152</v>
      </c>
      <c r="F8" t="s">
        <v>155</v>
      </c>
    </row>
    <row r="9" spans="1:6">
      <c r="A9" t="s">
        <v>96</v>
      </c>
      <c r="B9" t="s">
        <v>173</v>
      </c>
      <c r="C9" t="s">
        <v>43</v>
      </c>
      <c r="D9" t="s">
        <v>43</v>
      </c>
      <c r="E9" t="s">
        <v>43</v>
      </c>
      <c r="F9" t="s">
        <v>43</v>
      </c>
    </row>
    <row r="10" spans="1:6">
      <c r="A10" t="s">
        <v>97</v>
      </c>
      <c r="B10" t="s">
        <v>174</v>
      </c>
      <c r="C10" t="s">
        <v>43</v>
      </c>
      <c r="D10" t="s">
        <v>43</v>
      </c>
      <c r="E10" t="s">
        <v>43</v>
      </c>
      <c r="F10" t="s">
        <v>43</v>
      </c>
    </row>
    <row r="11" spans="1:6">
      <c r="A11" t="s">
        <v>98</v>
      </c>
      <c r="B11" t="s">
        <v>174</v>
      </c>
      <c r="C11" t="s">
        <v>43</v>
      </c>
      <c r="D11" t="s">
        <v>43</v>
      </c>
      <c r="E11" t="s">
        <v>43</v>
      </c>
      <c r="F11" t="s">
        <v>43</v>
      </c>
    </row>
    <row r="12" spans="1:6">
      <c r="A12" t="s">
        <v>99</v>
      </c>
      <c r="B12" t="s">
        <v>174</v>
      </c>
      <c r="C12" t="s">
        <v>43</v>
      </c>
      <c r="D12" t="s">
        <v>43</v>
      </c>
      <c r="E12" t="s">
        <v>43</v>
      </c>
      <c r="F12" t="s">
        <v>43</v>
      </c>
    </row>
    <row r="13" spans="1:6">
      <c r="A13" t="s">
        <v>100</v>
      </c>
      <c r="B13" t="s">
        <v>174</v>
      </c>
      <c r="C13" t="s">
        <v>43</v>
      </c>
      <c r="D13" t="s">
        <v>43</v>
      </c>
      <c r="E13" t="s">
        <v>43</v>
      </c>
      <c r="F13" t="s">
        <v>43</v>
      </c>
    </row>
    <row r="14" spans="1:6">
      <c r="A14" t="s">
        <v>101</v>
      </c>
      <c r="B14" t="s">
        <v>174</v>
      </c>
      <c r="C14" t="s">
        <v>43</v>
      </c>
      <c r="D14" t="s">
        <v>43</v>
      </c>
      <c r="E14" t="s">
        <v>43</v>
      </c>
      <c r="F14" t="s">
        <v>43</v>
      </c>
    </row>
    <row r="15" spans="1:6">
      <c r="A15" t="s">
        <v>102</v>
      </c>
      <c r="B15" t="s">
        <v>175</v>
      </c>
      <c r="C15" t="s">
        <v>43</v>
      </c>
      <c r="D15" t="s">
        <v>43</v>
      </c>
      <c r="E15" t="s">
        <v>43</v>
      </c>
      <c r="F15" t="s">
        <v>43</v>
      </c>
    </row>
    <row r="16" spans="1:6">
      <c r="A16" t="s">
        <v>103</v>
      </c>
      <c r="B16" t="s">
        <v>130</v>
      </c>
      <c r="C16" t="s">
        <v>43</v>
      </c>
      <c r="D16" t="s">
        <v>43</v>
      </c>
      <c r="E16" t="s">
        <v>43</v>
      </c>
      <c r="F16" t="s">
        <v>43</v>
      </c>
    </row>
    <row r="17" spans="1:6">
      <c r="A17" t="s">
        <v>104</v>
      </c>
      <c r="B17" t="s">
        <v>176</v>
      </c>
      <c r="C17" t="s">
        <v>43</v>
      </c>
      <c r="D17" t="s">
        <v>43</v>
      </c>
      <c r="E17" t="s">
        <v>43</v>
      </c>
      <c r="F17" t="s">
        <v>43</v>
      </c>
    </row>
    <row r="18" spans="1:6">
      <c r="A18" t="s">
        <v>105</v>
      </c>
      <c r="B18" t="s">
        <v>177</v>
      </c>
      <c r="C18" t="s">
        <v>43</v>
      </c>
      <c r="D18" t="s">
        <v>43</v>
      </c>
      <c r="E18" t="s">
        <v>43</v>
      </c>
      <c r="F18" t="s">
        <v>43</v>
      </c>
    </row>
    <row r="19" spans="1:6">
      <c r="A19" t="s">
        <v>106</v>
      </c>
      <c r="B19" t="s">
        <v>178</v>
      </c>
      <c r="C19" t="s">
        <v>43</v>
      </c>
      <c r="D19" t="s">
        <v>43</v>
      </c>
      <c r="E19" t="s">
        <v>43</v>
      </c>
      <c r="F19" t="s">
        <v>43</v>
      </c>
    </row>
    <row r="20" spans="1:6">
      <c r="A20" t="s">
        <v>107</v>
      </c>
      <c r="B20" t="s">
        <v>134</v>
      </c>
      <c r="C20" t="s">
        <v>43</v>
      </c>
      <c r="D20" t="s">
        <v>43</v>
      </c>
      <c r="E20" t="s">
        <v>43</v>
      </c>
      <c r="F20" t="s">
        <v>43</v>
      </c>
    </row>
    <row r="22" spans="1:6">
      <c r="A22" t="s">
        <v>108</v>
      </c>
    </row>
    <row r="23" spans="1:6">
      <c r="A23" t="s">
        <v>109</v>
      </c>
      <c r="B23" t="s">
        <v>28</v>
      </c>
      <c r="C23">
        <f>SUM(C8:C19)</f>
        <v>0</v>
      </c>
    </row>
    <row r="24" spans="1:6">
      <c r="A24" t="s">
        <v>110</v>
      </c>
      <c r="B24" t="s">
        <v>28</v>
      </c>
      <c r="C24">
        <f>SUM(D8:D19)</f>
        <v>0</v>
      </c>
    </row>
    <row r="25" spans="1:6">
      <c r="A25" t="s">
        <v>111</v>
      </c>
      <c r="B25" t="s">
        <v>28</v>
      </c>
      <c r="C25">
        <f>SUM(E8:E19)</f>
        <v>0</v>
      </c>
    </row>
    <row r="26" spans="1:6">
      <c r="A26" t="s">
        <v>112</v>
      </c>
      <c r="C26">
        <f>COUNTIF(F8:F19,0)</f>
        <v>0</v>
      </c>
      <c r="D26" t="s">
        <v>149</v>
      </c>
    </row>
    <row r="27" spans="1:6">
      <c r="A27" t="s">
        <v>113</v>
      </c>
      <c r="B27" t="s">
        <v>28</v>
      </c>
      <c r="C27">
        <f>SUM(F8:F19)</f>
        <v>0</v>
      </c>
    </row>
    <row r="29" spans="1:6">
      <c r="A29" t="s">
        <v>161</v>
      </c>
    </row>
    <row r="30" spans="1:6">
      <c r="A30" t="s">
        <v>115</v>
      </c>
      <c r="B30" t="s">
        <v>62</v>
      </c>
      <c r="C30" t="s">
        <v>146</v>
      </c>
      <c r="D30" t="s">
        <v>150</v>
      </c>
      <c r="E30" t="s">
        <v>153</v>
      </c>
    </row>
    <row r="31" spans="1:6">
      <c r="A31" t="s">
        <v>96</v>
      </c>
      <c r="B31">
        <f>INDEX('Debt Inventory'!A5:A14,MATCH(MAX('Debt Inventory'!C5:C14),'Debt Inventory'!C5:C14,0))</f>
        <v>0</v>
      </c>
      <c r="C31">
        <f>INDEX('Debt Inventory'!D5:D14,MATCH(MAX('Debt Inventory'!C5:C14),'Debt Inventory'!C5:C14,0))</f>
        <v>0</v>
      </c>
      <c r="D31">
        <f>MAX('Debt Inventory'!C5:C14)%</f>
        <v>0</v>
      </c>
      <c r="E31" t="s">
        <v>154</v>
      </c>
    </row>
    <row r="32" spans="1:6">
      <c r="A32" t="s">
        <v>97</v>
      </c>
      <c r="B32" t="s">
        <v>179</v>
      </c>
      <c r="C32" t="s">
        <v>147</v>
      </c>
      <c r="D32" t="s">
        <v>151</v>
      </c>
      <c r="E32" t="s">
        <v>154</v>
      </c>
    </row>
    <row r="33" spans="1:5">
      <c r="A33" t="s">
        <v>98</v>
      </c>
      <c r="B33" t="s">
        <v>136</v>
      </c>
      <c r="C33" t="s">
        <v>147</v>
      </c>
      <c r="D33" t="s">
        <v>151</v>
      </c>
      <c r="E33" t="s">
        <v>154</v>
      </c>
    </row>
    <row r="34" spans="1:5">
      <c r="A34" t="s">
        <v>99</v>
      </c>
      <c r="B34" t="s">
        <v>136</v>
      </c>
      <c r="C34" t="s">
        <v>147</v>
      </c>
      <c r="D34" t="s">
        <v>151</v>
      </c>
      <c r="E34" t="s">
        <v>154</v>
      </c>
    </row>
    <row r="35" spans="1:5">
      <c r="A35" t="s">
        <v>100</v>
      </c>
      <c r="B35" t="s">
        <v>136</v>
      </c>
      <c r="C35" t="s">
        <v>147</v>
      </c>
      <c r="D35" t="s">
        <v>151</v>
      </c>
      <c r="E35" t="s">
        <v>154</v>
      </c>
    </row>
    <row r="37" spans="1:5">
      <c r="A37" t="s">
        <v>162</v>
      </c>
    </row>
    <row r="38" spans="1:5">
      <c r="A38" t="s">
        <v>163</v>
      </c>
      <c r="B38" t="s">
        <v>180</v>
      </c>
    </row>
    <row r="39" spans="1:5">
      <c r="A39" t="s">
        <v>164</v>
      </c>
      <c r="B39" t="s">
        <v>181</v>
      </c>
    </row>
    <row r="40" spans="1:5">
      <c r="A40" t="s">
        <v>165</v>
      </c>
      <c r="B40" t="s">
        <v>182</v>
      </c>
    </row>
    <row r="41" spans="1:5">
      <c r="A41" t="s">
        <v>166</v>
      </c>
      <c r="B41" t="s">
        <v>183</v>
      </c>
    </row>
    <row r="42" spans="1:5">
      <c r="A42" t="s">
        <v>167</v>
      </c>
      <c r="B42" t="s">
        <v>184</v>
      </c>
    </row>
    <row r="44" spans="1:5">
      <c r="A44" t="s">
        <v>168</v>
      </c>
    </row>
    <row r="45" spans="1:5">
      <c r="A45" t="s">
        <v>169</v>
      </c>
      <c r="B45" t="s">
        <v>185</v>
      </c>
    </row>
    <row r="46" spans="1:5">
      <c r="A46" t="s">
        <v>170</v>
      </c>
      <c r="B46" t="s">
        <v>186</v>
      </c>
    </row>
    <row r="47" spans="1:5">
      <c r="A47" t="s">
        <v>171</v>
      </c>
      <c r="B47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1" width="50.7109375" customWidth="1"/>
    <col min="2" max="2" width="18.7109375" customWidth="1"/>
    <col min="3" max="3" width="47.7109375" customWidth="1"/>
    <col min="4" max="5" width="20.7109375" customWidth="1"/>
    <col min="6" max="6" width="31.7109375" customWidth="1"/>
  </cols>
  <sheetData>
    <row r="1" spans="1:6">
      <c r="A1" t="s">
        <v>224</v>
      </c>
    </row>
    <row r="3" spans="1:6">
      <c r="A3" t="s">
        <v>189</v>
      </c>
    </row>
    <row r="5" spans="1:6">
      <c r="A5" t="s">
        <v>190</v>
      </c>
    </row>
    <row r="6" spans="1:6">
      <c r="A6" t="s">
        <v>95</v>
      </c>
      <c r="B6" t="s">
        <v>30</v>
      </c>
      <c r="C6" t="s">
        <v>218</v>
      </c>
      <c r="D6" t="s">
        <v>148</v>
      </c>
      <c r="E6" t="s">
        <v>152</v>
      </c>
      <c r="F6" t="s">
        <v>223</v>
      </c>
    </row>
    <row r="7" spans="1:6">
      <c r="A7" t="s">
        <v>96</v>
      </c>
      <c r="B7" t="s">
        <v>204</v>
      </c>
      <c r="C7" t="s">
        <v>43</v>
      </c>
      <c r="D7" t="s">
        <v>43</v>
      </c>
      <c r="E7" t="s">
        <v>43</v>
      </c>
      <c r="F7">
        <f>SUM('Debt Inventory'!D5:D14)</f>
        <v>0</v>
      </c>
    </row>
    <row r="8" spans="1:6">
      <c r="A8" t="s">
        <v>97</v>
      </c>
      <c r="B8" t="s">
        <v>205</v>
      </c>
      <c r="C8" t="s">
        <v>43</v>
      </c>
      <c r="D8" t="s">
        <v>43</v>
      </c>
      <c r="E8" t="s">
        <v>43</v>
      </c>
      <c r="F8" t="s">
        <v>43</v>
      </c>
    </row>
    <row r="9" spans="1:6">
      <c r="A9" t="s">
        <v>98</v>
      </c>
      <c r="B9" t="s">
        <v>206</v>
      </c>
      <c r="C9" t="s">
        <v>43</v>
      </c>
      <c r="D9" t="s">
        <v>43</v>
      </c>
      <c r="E9" t="s">
        <v>43</v>
      </c>
      <c r="F9" t="s">
        <v>43</v>
      </c>
    </row>
    <row r="10" spans="1:6">
      <c r="A10" t="s">
        <v>99</v>
      </c>
      <c r="B10" t="s">
        <v>207</v>
      </c>
      <c r="C10" t="s">
        <v>43</v>
      </c>
      <c r="D10" t="s">
        <v>43</v>
      </c>
      <c r="E10" t="s">
        <v>43</v>
      </c>
      <c r="F10" t="s">
        <v>43</v>
      </c>
    </row>
    <row r="11" spans="1:6">
      <c r="A11" t="s">
        <v>100</v>
      </c>
      <c r="B11" t="s">
        <v>208</v>
      </c>
      <c r="C11" t="s">
        <v>43</v>
      </c>
      <c r="D11" t="s">
        <v>43</v>
      </c>
      <c r="E11" t="s">
        <v>43</v>
      </c>
      <c r="F11" t="s">
        <v>43</v>
      </c>
    </row>
    <row r="12" spans="1:6">
      <c r="A12" t="s">
        <v>101</v>
      </c>
      <c r="B12" t="s">
        <v>209</v>
      </c>
      <c r="C12" t="s">
        <v>43</v>
      </c>
      <c r="D12" t="s">
        <v>43</v>
      </c>
      <c r="E12" t="s">
        <v>43</v>
      </c>
      <c r="F12" t="s">
        <v>43</v>
      </c>
    </row>
    <row r="13" spans="1:6">
      <c r="A13" t="s">
        <v>102</v>
      </c>
      <c r="B13" t="s">
        <v>210</v>
      </c>
      <c r="C13" t="s">
        <v>43</v>
      </c>
      <c r="D13" t="s">
        <v>43</v>
      </c>
      <c r="E13" t="s">
        <v>43</v>
      </c>
      <c r="F13" t="s">
        <v>43</v>
      </c>
    </row>
    <row r="14" spans="1:6">
      <c r="A14" t="s">
        <v>103</v>
      </c>
      <c r="B14" t="s">
        <v>211</v>
      </c>
      <c r="C14" t="s">
        <v>43</v>
      </c>
      <c r="D14" t="s">
        <v>43</v>
      </c>
      <c r="E14" t="s">
        <v>43</v>
      </c>
      <c r="F14" t="s">
        <v>43</v>
      </c>
    </row>
    <row r="15" spans="1:6">
      <c r="A15" t="s">
        <v>104</v>
      </c>
      <c r="B15" t="s">
        <v>212</v>
      </c>
      <c r="C15" t="s">
        <v>43</v>
      </c>
      <c r="D15" t="s">
        <v>43</v>
      </c>
      <c r="E15" t="s">
        <v>43</v>
      </c>
      <c r="F15" t="s">
        <v>43</v>
      </c>
    </row>
    <row r="16" spans="1:6">
      <c r="A16" t="s">
        <v>105</v>
      </c>
      <c r="B16" t="s">
        <v>213</v>
      </c>
      <c r="C16" t="s">
        <v>43</v>
      </c>
      <c r="D16" t="s">
        <v>43</v>
      </c>
      <c r="E16" t="s">
        <v>43</v>
      </c>
      <c r="F16" t="s">
        <v>43</v>
      </c>
    </row>
    <row r="17" spans="1:6">
      <c r="A17" t="s">
        <v>106</v>
      </c>
      <c r="B17" t="s">
        <v>214</v>
      </c>
      <c r="C17" t="s">
        <v>43</v>
      </c>
      <c r="D17" t="s">
        <v>43</v>
      </c>
      <c r="E17" t="s">
        <v>43</v>
      </c>
      <c r="F17" t="s">
        <v>43</v>
      </c>
    </row>
    <row r="18" spans="1:6">
      <c r="A18" t="s">
        <v>107</v>
      </c>
      <c r="B18" t="s">
        <v>215</v>
      </c>
      <c r="C18" t="s">
        <v>43</v>
      </c>
      <c r="D18" t="s">
        <v>43</v>
      </c>
      <c r="E18" t="s">
        <v>43</v>
      </c>
      <c r="F18" t="s">
        <v>43</v>
      </c>
    </row>
    <row r="20" spans="1:6">
      <c r="A20" t="s">
        <v>191</v>
      </c>
    </row>
    <row r="21" spans="1:6">
      <c r="A21" t="s">
        <v>192</v>
      </c>
      <c r="B21" t="s">
        <v>216</v>
      </c>
      <c r="C21" t="s">
        <v>219</v>
      </c>
      <c r="D21" t="s">
        <v>220</v>
      </c>
      <c r="E21" t="s">
        <v>222</v>
      </c>
    </row>
    <row r="22" spans="1:6">
      <c r="A22" t="s">
        <v>193</v>
      </c>
      <c r="B22">
        <f>SUM(C8:C19)</f>
        <v>0</v>
      </c>
      <c r="C22">
        <f>SUM(D8:D19)</f>
        <v>0</v>
      </c>
      <c r="D22">
        <f>SUM(E8:E19)</f>
        <v>0</v>
      </c>
      <c r="E22">
        <f>SUM(F8:F19)</f>
        <v>0</v>
      </c>
    </row>
    <row r="23" spans="1:6">
      <c r="A23" t="s">
        <v>194</v>
      </c>
      <c r="B23" t="s">
        <v>43</v>
      </c>
      <c r="C23" t="s">
        <v>43</v>
      </c>
      <c r="D23" t="s">
        <v>43</v>
      </c>
      <c r="E23" t="s">
        <v>43</v>
      </c>
    </row>
    <row r="24" spans="1:6">
      <c r="A24" t="s">
        <v>195</v>
      </c>
      <c r="B24" t="s">
        <v>43</v>
      </c>
      <c r="C24" t="s">
        <v>43</v>
      </c>
      <c r="D24" t="s">
        <v>43</v>
      </c>
      <c r="E24" t="s">
        <v>43</v>
      </c>
    </row>
    <row r="25" spans="1:6">
      <c r="A25" t="s">
        <v>196</v>
      </c>
      <c r="B25" t="s">
        <v>43</v>
      </c>
      <c r="C25" t="s">
        <v>43</v>
      </c>
      <c r="D25" t="s">
        <v>43</v>
      </c>
      <c r="E25" t="s">
        <v>43</v>
      </c>
    </row>
    <row r="26" spans="1:6">
      <c r="A26" t="s">
        <v>197</v>
      </c>
      <c r="B26" t="s">
        <v>43</v>
      </c>
      <c r="C26" t="s">
        <v>43</v>
      </c>
      <c r="D26" t="s">
        <v>43</v>
      </c>
      <c r="E26" t="s">
        <v>43</v>
      </c>
    </row>
    <row r="28" spans="1:6">
      <c r="A28" t="s">
        <v>198</v>
      </c>
    </row>
    <row r="29" spans="1:6">
      <c r="A29" t="s">
        <v>199</v>
      </c>
      <c r="B29" t="s">
        <v>28</v>
      </c>
      <c r="C29">
        <f>SUM(C8:C19)</f>
        <v>0</v>
      </c>
    </row>
    <row r="30" spans="1:6">
      <c r="A30" t="s">
        <v>200</v>
      </c>
      <c r="B30" t="s">
        <v>28</v>
      </c>
      <c r="C30">
        <f>SUM(D8:D19)</f>
        <v>0</v>
      </c>
    </row>
    <row r="31" spans="1:6">
      <c r="A31" t="s">
        <v>201</v>
      </c>
      <c r="B31" t="s">
        <v>28</v>
      </c>
      <c r="C31">
        <f>SUM(E8:E19)</f>
        <v>0</v>
      </c>
    </row>
    <row r="32" spans="1:6">
      <c r="A32" t="s">
        <v>113</v>
      </c>
      <c r="B32" t="s">
        <v>28</v>
      </c>
      <c r="C32">
        <f>SUM(F8:F19)</f>
        <v>0</v>
      </c>
    </row>
    <row r="33" spans="1:5">
      <c r="A33" t="s">
        <v>202</v>
      </c>
      <c r="C33">
        <f>(SUM(E8:E19)/(SUM(E8:E19)+SUM(F8:F19)))*100%</f>
        <v>0</v>
      </c>
      <c r="D33" t="s">
        <v>221</v>
      </c>
    </row>
    <row r="35" spans="1:5">
      <c r="A35" t="s">
        <v>203</v>
      </c>
    </row>
    <row r="36" spans="1:5">
      <c r="A36" t="s">
        <v>62</v>
      </c>
      <c r="B36" t="s">
        <v>217</v>
      </c>
      <c r="C36" t="s">
        <v>146</v>
      </c>
      <c r="D36" t="s">
        <v>150</v>
      </c>
      <c r="E36" t="s">
        <v>29</v>
      </c>
    </row>
    <row r="37" spans="1:5">
      <c r="A37" t="s">
        <v>63</v>
      </c>
      <c r="B37">
        <f>D5</f>
        <v>0</v>
      </c>
      <c r="C37">
        <f>D5</f>
        <v>0</v>
      </c>
      <c r="D37">
        <f>C5%</f>
        <v>0</v>
      </c>
      <c r="E37">
        <f>E5</f>
        <v>0</v>
      </c>
    </row>
    <row r="38" spans="1:5">
      <c r="A38" t="s">
        <v>64</v>
      </c>
      <c r="B38">
        <f>D6</f>
        <v>0</v>
      </c>
      <c r="C38">
        <f>D6</f>
        <v>0</v>
      </c>
      <c r="D38">
        <f>C6%</f>
        <v>0</v>
      </c>
      <c r="E38">
        <f>E6</f>
        <v>0</v>
      </c>
    </row>
    <row r="39" spans="1:5">
      <c r="A39" t="s">
        <v>80</v>
      </c>
      <c r="B39">
        <f>D7</f>
        <v>0</v>
      </c>
      <c r="C39">
        <f>D7</f>
        <v>0</v>
      </c>
      <c r="D39">
        <f>C7%</f>
        <v>0</v>
      </c>
      <c r="E39">
        <f>E7</f>
        <v>0</v>
      </c>
    </row>
    <row r="40" spans="1:5">
      <c r="A40" t="s">
        <v>66</v>
      </c>
      <c r="B40">
        <f>D8</f>
        <v>0</v>
      </c>
      <c r="C40">
        <f>D8</f>
        <v>0</v>
      </c>
      <c r="D40">
        <f>C8%</f>
        <v>0</v>
      </c>
      <c r="E40">
        <f>E8</f>
        <v>0</v>
      </c>
    </row>
    <row r="41" spans="1:5">
      <c r="A41" t="s">
        <v>67</v>
      </c>
      <c r="B41">
        <f>D9</f>
        <v>0</v>
      </c>
      <c r="C41">
        <f>D9</f>
        <v>0</v>
      </c>
      <c r="D41">
        <f>C9%</f>
        <v>0</v>
      </c>
      <c r="E41">
        <f>E9</f>
        <v>0</v>
      </c>
    </row>
    <row r="42" spans="1:5">
      <c r="A42" t="s">
        <v>68</v>
      </c>
      <c r="B42">
        <f>D10</f>
        <v>0</v>
      </c>
      <c r="C42">
        <f>D10</f>
        <v>0</v>
      </c>
      <c r="D42">
        <f>C10%</f>
        <v>0</v>
      </c>
      <c r="E42">
        <f>E10</f>
        <v>0</v>
      </c>
    </row>
    <row r="43" spans="1:5">
      <c r="A43" t="s">
        <v>69</v>
      </c>
      <c r="B43">
        <f>D11</f>
        <v>0</v>
      </c>
      <c r="C43">
        <f>D11</f>
        <v>0</v>
      </c>
      <c r="D43">
        <f>C11%</f>
        <v>0</v>
      </c>
      <c r="E43">
        <f>E11</f>
        <v>0</v>
      </c>
    </row>
    <row r="44" spans="1:5">
      <c r="A44" t="s">
        <v>70</v>
      </c>
      <c r="B44">
        <f>D12</f>
        <v>0</v>
      </c>
      <c r="C44">
        <f>D12</f>
        <v>0</v>
      </c>
      <c r="D44">
        <f>C12%</f>
        <v>0</v>
      </c>
      <c r="E44">
        <f>E12</f>
        <v>0</v>
      </c>
    </row>
    <row r="45" spans="1:5">
      <c r="A45" t="s">
        <v>71</v>
      </c>
      <c r="B45">
        <f>D13</f>
        <v>0</v>
      </c>
      <c r="C45">
        <f>D13</f>
        <v>0</v>
      </c>
      <c r="D45">
        <f>C13%</f>
        <v>0</v>
      </c>
      <c r="E45">
        <f>E13</f>
        <v>0</v>
      </c>
    </row>
    <row r="46" spans="1:5">
      <c r="A46" t="s">
        <v>84</v>
      </c>
      <c r="B46">
        <f>D14</f>
        <v>0</v>
      </c>
      <c r="C46">
        <f>D14</f>
        <v>0</v>
      </c>
      <c r="D46">
        <f>C14%</f>
        <v>0</v>
      </c>
      <c r="E46">
        <f>E14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1" max="2" width="50.7109375" customWidth="1"/>
    <col min="3" max="3" width="40.7109375" customWidth="1"/>
    <col min="4" max="4" width="37.7109375" customWidth="1"/>
    <col min="5" max="5" width="27.7109375" customWidth="1"/>
    <col min="6" max="6" width="36.7109375" customWidth="1"/>
  </cols>
  <sheetData>
    <row r="1" spans="1:6">
      <c r="A1" t="s">
        <v>283</v>
      </c>
    </row>
    <row r="3" spans="1:6">
      <c r="A3" t="s">
        <v>225</v>
      </c>
    </row>
    <row r="5" spans="1:6">
      <c r="A5" t="s">
        <v>226</v>
      </c>
    </row>
    <row r="6" spans="1:6">
      <c r="A6" t="s">
        <v>227</v>
      </c>
      <c r="B6" t="s">
        <v>249</v>
      </c>
      <c r="C6" t="s">
        <v>150</v>
      </c>
      <c r="D6" t="s">
        <v>263</v>
      </c>
      <c r="E6" t="s">
        <v>271</v>
      </c>
      <c r="F6" t="s">
        <v>278</v>
      </c>
    </row>
    <row r="7" spans="1:6">
      <c r="A7" t="s">
        <v>63</v>
      </c>
      <c r="B7">
        <f>D5</f>
        <v>0</v>
      </c>
      <c r="C7">
        <f>C5%</f>
        <v>0</v>
      </c>
      <c r="D7">
        <f>(D5*C5/12/100)</f>
        <v>0</v>
      </c>
      <c r="E7">
        <f>(D5*C5/100)</f>
        <v>0</v>
      </c>
      <c r="F7">
        <f>(D5*C5/SUM(D5:D14*C5:C14)*100)%</f>
        <v>0</v>
      </c>
    </row>
    <row r="8" spans="1:6">
      <c r="A8" t="s">
        <v>64</v>
      </c>
      <c r="B8">
        <f>D6</f>
        <v>0</v>
      </c>
      <c r="C8">
        <f>C6%</f>
        <v>0</v>
      </c>
      <c r="D8">
        <f>(D6*C6/12/100)</f>
        <v>0</v>
      </c>
      <c r="E8">
        <f>(D6*C6/100)</f>
        <v>0</v>
      </c>
      <c r="F8">
        <f>(D6*C6/SUM(D5:D14*C5:C14)*100)%</f>
        <v>0</v>
      </c>
    </row>
    <row r="9" spans="1:6">
      <c r="A9" t="s">
        <v>80</v>
      </c>
      <c r="B9">
        <f>D7</f>
        <v>0</v>
      </c>
      <c r="C9">
        <f>C7%</f>
        <v>0</v>
      </c>
      <c r="D9">
        <f>(D7*C7/12/100)</f>
        <v>0</v>
      </c>
      <c r="E9">
        <f>(D7*C7/100)</f>
        <v>0</v>
      </c>
      <c r="F9">
        <f>(D7*C7/SUM(D5:D14*C5:C14)*100)%</f>
        <v>0</v>
      </c>
    </row>
    <row r="10" spans="1:6">
      <c r="A10" t="s">
        <v>66</v>
      </c>
      <c r="B10">
        <f>D8</f>
        <v>0</v>
      </c>
      <c r="C10">
        <f>C8%</f>
        <v>0</v>
      </c>
      <c r="D10">
        <f>(D8*C8/12/100)</f>
        <v>0</v>
      </c>
      <c r="E10">
        <f>(D8*C8/100)</f>
        <v>0</v>
      </c>
      <c r="F10">
        <f>(D8*C8/SUM(D5:D14*C5:C14)*100)%</f>
        <v>0</v>
      </c>
    </row>
    <row r="11" spans="1:6">
      <c r="A11" t="s">
        <v>67</v>
      </c>
      <c r="B11">
        <f>D9</f>
        <v>0</v>
      </c>
      <c r="C11">
        <f>C9%</f>
        <v>0</v>
      </c>
      <c r="D11">
        <f>(D9*C9/12/100)</f>
        <v>0</v>
      </c>
      <c r="E11">
        <f>(D9*C9/100)</f>
        <v>0</v>
      </c>
      <c r="F11">
        <f>(D9*C9/SUM(D5:D14*C5:C14)*100)%</f>
        <v>0</v>
      </c>
    </row>
    <row r="12" spans="1:6">
      <c r="A12" t="s">
        <v>68</v>
      </c>
      <c r="B12">
        <f>D10</f>
        <v>0</v>
      </c>
      <c r="C12">
        <f>C10%</f>
        <v>0</v>
      </c>
      <c r="D12">
        <f>(D10*C10/12/100)</f>
        <v>0</v>
      </c>
      <c r="E12">
        <f>(D10*C10/100)</f>
        <v>0</v>
      </c>
      <c r="F12">
        <f>(D10*C10/SUM(D5:D14*C5:C14)*100)%</f>
        <v>0</v>
      </c>
    </row>
    <row r="13" spans="1:6">
      <c r="A13" t="s">
        <v>69</v>
      </c>
      <c r="B13">
        <f>D11</f>
        <v>0</v>
      </c>
      <c r="C13">
        <f>C11%</f>
        <v>0</v>
      </c>
      <c r="D13">
        <f>(D11*C11/12/100)</f>
        <v>0</v>
      </c>
      <c r="E13">
        <f>(D11*C11/100)</f>
        <v>0</v>
      </c>
      <c r="F13">
        <f>(D11*C11/SUM(D5:D14*C5:C14)*100)%</f>
        <v>0</v>
      </c>
    </row>
    <row r="14" spans="1:6">
      <c r="A14" t="s">
        <v>70</v>
      </c>
      <c r="B14">
        <f>D12</f>
        <v>0</v>
      </c>
      <c r="C14">
        <f>C12%</f>
        <v>0</v>
      </c>
      <c r="D14">
        <f>(D12*C12/12/100)</f>
        <v>0</v>
      </c>
      <c r="E14">
        <f>(D12*C12/100)</f>
        <v>0</v>
      </c>
      <c r="F14">
        <f>(D12*C12/SUM(D5:D14*C5:C14)*100)%</f>
        <v>0</v>
      </c>
    </row>
    <row r="15" spans="1:6">
      <c r="A15" t="s">
        <v>71</v>
      </c>
      <c r="B15">
        <f>D13</f>
        <v>0</v>
      </c>
      <c r="C15">
        <f>C13%</f>
        <v>0</v>
      </c>
      <c r="D15">
        <f>(D13*C13/12/100)</f>
        <v>0</v>
      </c>
      <c r="E15">
        <f>(D13*C13/100)</f>
        <v>0</v>
      </c>
      <c r="F15">
        <f>(D13*C13/SUM(D5:D14*C5:C14)*100)%</f>
        <v>0</v>
      </c>
    </row>
    <row r="16" spans="1:6">
      <c r="A16" t="s">
        <v>72</v>
      </c>
      <c r="B16">
        <f>D14</f>
        <v>0</v>
      </c>
      <c r="C16">
        <f>C14%</f>
        <v>0</v>
      </c>
      <c r="D16">
        <f>(D14*C14/12/100)</f>
        <v>0</v>
      </c>
      <c r="E16">
        <f>(D14*C14/100)</f>
        <v>0</v>
      </c>
      <c r="F16">
        <f>(D14*C14/SUM(D5:D14*C5:C14)*100)%</f>
        <v>0</v>
      </c>
    </row>
    <row r="18" spans="1:5">
      <c r="A18" t="s">
        <v>228</v>
      </c>
    </row>
    <row r="19" spans="1:5">
      <c r="A19" t="s">
        <v>229</v>
      </c>
      <c r="B19" t="s">
        <v>28</v>
      </c>
      <c r="C19">
        <f>SUM(D7:D16)</f>
        <v>0</v>
      </c>
      <c r="D19" t="s">
        <v>264</v>
      </c>
    </row>
    <row r="20" spans="1:5">
      <c r="A20" t="s">
        <v>230</v>
      </c>
      <c r="B20" t="s">
        <v>28</v>
      </c>
      <c r="C20">
        <f>SUM(E7:E16)</f>
        <v>0</v>
      </c>
      <c r="D20" t="s">
        <v>265</v>
      </c>
    </row>
    <row r="21" spans="1:5">
      <c r="A21" t="s">
        <v>231</v>
      </c>
      <c r="B21" t="s">
        <v>28</v>
      </c>
      <c r="C21">
        <f>SUM(E7:E16)*3</f>
        <v>0</v>
      </c>
      <c r="D21" t="s">
        <v>266</v>
      </c>
    </row>
    <row r="23" spans="1:5">
      <c r="A23" t="s">
        <v>232</v>
      </c>
    </row>
    <row r="24" spans="1:5">
      <c r="A24" t="s">
        <v>5</v>
      </c>
      <c r="B24" t="s">
        <v>250</v>
      </c>
      <c r="C24" t="s">
        <v>256</v>
      </c>
      <c r="D24" t="s">
        <v>267</v>
      </c>
      <c r="E24" t="s">
        <v>46</v>
      </c>
    </row>
    <row r="25" spans="1:5">
      <c r="A25" t="s">
        <v>233</v>
      </c>
      <c r="B25" t="s">
        <v>251</v>
      </c>
      <c r="C25">
        <f>('Interest Tracker'!B21*0.40)</f>
        <v>0</v>
      </c>
      <c r="D25" t="s">
        <v>268</v>
      </c>
      <c r="E25" t="s">
        <v>269</v>
      </c>
    </row>
    <row r="26" spans="1:5">
      <c r="A26" t="s">
        <v>234</v>
      </c>
      <c r="B26" t="s">
        <v>252</v>
      </c>
      <c r="C26">
        <f>('Interest Tracker'!B21*0.25)</f>
        <v>0</v>
      </c>
      <c r="D26" t="s">
        <v>268</v>
      </c>
      <c r="E26" t="s">
        <v>268</v>
      </c>
    </row>
    <row r="27" spans="1:5">
      <c r="A27" t="s">
        <v>235</v>
      </c>
      <c r="B27" t="s">
        <v>253</v>
      </c>
      <c r="C27">
        <f>('Interest Tracker'!B21*0.50)</f>
        <v>0</v>
      </c>
      <c r="D27" t="s">
        <v>269</v>
      </c>
      <c r="E27" t="s">
        <v>270</v>
      </c>
    </row>
    <row r="28" spans="1:5">
      <c r="A28" t="s">
        <v>236</v>
      </c>
      <c r="B28" t="s">
        <v>254</v>
      </c>
      <c r="C28">
        <f>('Interest Tracker'!B21*0.30)</f>
        <v>0</v>
      </c>
      <c r="D28" t="s">
        <v>269</v>
      </c>
      <c r="E28" t="s">
        <v>269</v>
      </c>
    </row>
    <row r="29" spans="1:5">
      <c r="A29" t="s">
        <v>237</v>
      </c>
      <c r="B29" t="s">
        <v>255</v>
      </c>
      <c r="C29">
        <f>('Interest Tracker'!B21*0.40)</f>
        <v>0</v>
      </c>
      <c r="D29" t="s">
        <v>270</v>
      </c>
      <c r="E29" t="s">
        <v>269</v>
      </c>
    </row>
    <row r="31" spans="1:5">
      <c r="A31" t="s">
        <v>238</v>
      </c>
    </row>
    <row r="32" spans="1:5">
      <c r="A32" t="s">
        <v>239</v>
      </c>
      <c r="B32" t="s">
        <v>29</v>
      </c>
      <c r="C32" t="s">
        <v>257</v>
      </c>
      <c r="D32" t="s">
        <v>200</v>
      </c>
      <c r="E32" t="s">
        <v>272</v>
      </c>
    </row>
    <row r="33" spans="1:6">
      <c r="A33" t="s">
        <v>240</v>
      </c>
      <c r="B33">
        <f>SUM('Debt Inventory'!E5:E14)</f>
        <v>0</v>
      </c>
      <c r="C33" t="s">
        <v>258</v>
      </c>
      <c r="D33">
        <f>SUM(E7:E16)*5</f>
        <v>0</v>
      </c>
      <c r="E33" t="s">
        <v>273</v>
      </c>
    </row>
    <row r="34" spans="1:6">
      <c r="A34" t="s">
        <v>241</v>
      </c>
      <c r="B34">
        <f>SUM('Debt Inventory'!E5:E14)+5000</f>
        <v>0</v>
      </c>
      <c r="C34" t="s">
        <v>259</v>
      </c>
      <c r="D34">
        <f>SUM(E7:E16)*3</f>
        <v>0</v>
      </c>
      <c r="E34" t="s">
        <v>274</v>
      </c>
    </row>
    <row r="35" spans="1:6">
      <c r="A35" t="s">
        <v>242</v>
      </c>
      <c r="B35">
        <f>SUM('Debt Inventory'!E5:E14)+10000</f>
        <v>0</v>
      </c>
      <c r="C35" t="s">
        <v>260</v>
      </c>
      <c r="D35">
        <f>SUM(E7:E16)*2</f>
        <v>0</v>
      </c>
      <c r="E35" t="s">
        <v>275</v>
      </c>
    </row>
    <row r="36" spans="1:6">
      <c r="A36" t="s">
        <v>243</v>
      </c>
      <c r="B36">
        <f>SUM('Debt Inventory'!E5:E14)+15000</f>
        <v>0</v>
      </c>
      <c r="C36" t="s">
        <v>261</v>
      </c>
      <c r="D36">
        <f>SUM(E7:E16)*1.5</f>
        <v>0</v>
      </c>
      <c r="E36" t="s">
        <v>276</v>
      </c>
    </row>
    <row r="38" spans="1:6">
      <c r="A38" t="s">
        <v>244</v>
      </c>
    </row>
    <row r="39" spans="1:6">
      <c r="A39" t="s">
        <v>239</v>
      </c>
      <c r="B39" t="s">
        <v>74</v>
      </c>
      <c r="C39" t="s">
        <v>262</v>
      </c>
      <c r="D39" t="s">
        <v>29</v>
      </c>
      <c r="E39" t="s">
        <v>277</v>
      </c>
      <c r="F39" t="s">
        <v>279</v>
      </c>
    </row>
    <row r="40" spans="1:6">
      <c r="A40" t="s">
        <v>245</v>
      </c>
      <c r="B40">
        <f>SUM('Debt Inventory'!D5:D14)</f>
        <v>0</v>
      </c>
      <c r="C40">
        <f>AVERAGE('Debt Inventory'!C5:C14)%</f>
        <v>0</v>
      </c>
      <c r="D40">
        <f>SUM('Debt Inventory'!E5:E14)</f>
        <v>0</v>
      </c>
      <c r="E40">
        <f>SUM(E7:E16)*3</f>
        <v>0</v>
      </c>
      <c r="F40" t="s">
        <v>34</v>
      </c>
    </row>
    <row r="41" spans="1:6">
      <c r="A41" t="s">
        <v>246</v>
      </c>
      <c r="B41">
        <f>SUM('Debt Inventory'!D5:D14)</f>
        <v>0</v>
      </c>
      <c r="C41">
        <f>AVERAGE('Debt Inventory'!C5:C14)%</f>
        <v>0</v>
      </c>
      <c r="D41">
        <f>SUM('Debt Inventory'!E5:E14)+5000</f>
        <v>0</v>
      </c>
      <c r="E41">
        <f>(SUM(E7:E16)*3)*0.70</f>
        <v>0</v>
      </c>
      <c r="F41" t="s">
        <v>280</v>
      </c>
    </row>
    <row r="42" spans="1:6">
      <c r="A42" t="s">
        <v>247</v>
      </c>
      <c r="B42">
        <f>SUM('Debt Inventory'!D5:D14)</f>
        <v>0</v>
      </c>
      <c r="C42">
        <f>(AVERAGE('Debt Inventory'!C5:C14)-2)%</f>
        <v>0</v>
      </c>
      <c r="D42">
        <f>SUM('Debt Inventory'!E5:E14)</f>
        <v>0</v>
      </c>
      <c r="E42">
        <f>(SUM(E7:E16)*3)*0.60</f>
        <v>0</v>
      </c>
      <c r="F42" t="s">
        <v>281</v>
      </c>
    </row>
    <row r="43" spans="1:6">
      <c r="A43" t="s">
        <v>248</v>
      </c>
      <c r="B43">
        <f>SUM('Debt Inventory'!D5:D14)</f>
        <v>0</v>
      </c>
      <c r="C43">
        <f>(AVERAGE('Debt Inventory'!C5:C14)-3)%</f>
        <v>0</v>
      </c>
      <c r="D43">
        <f>SUM('Debt Inventory'!E5:E14)+10000</f>
        <v>0</v>
      </c>
      <c r="E43">
        <f>(SUM(E7:E16)*3)*0.40</f>
        <v>0</v>
      </c>
      <c r="F43" t="s">
        <v>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1" max="1" width="50.7109375" customWidth="1"/>
    <col min="2" max="2" width="42.7109375" customWidth="1"/>
    <col min="3" max="3" width="50.7109375" customWidth="1"/>
    <col min="4" max="4" width="45.7109375" customWidth="1"/>
    <col min="5" max="5" width="50.7109375" customWidth="1"/>
    <col min="6" max="6" width="21.7109375" customWidth="1"/>
  </cols>
  <sheetData>
    <row r="1" spans="1:6">
      <c r="A1" t="s">
        <v>386</v>
      </c>
    </row>
    <row r="3" spans="1:6">
      <c r="A3" t="s">
        <v>284</v>
      </c>
    </row>
    <row r="5" spans="1:6">
      <c r="A5" t="s">
        <v>285</v>
      </c>
    </row>
    <row r="6" spans="1:6">
      <c r="A6" t="s">
        <v>18</v>
      </c>
      <c r="B6" t="s">
        <v>33</v>
      </c>
      <c r="C6" t="s">
        <v>222</v>
      </c>
      <c r="D6" t="s">
        <v>350</v>
      </c>
      <c r="E6" t="s">
        <v>202</v>
      </c>
      <c r="F6" t="s">
        <v>50</v>
      </c>
    </row>
    <row r="8" spans="1:6">
      <c r="A8" t="s">
        <v>286</v>
      </c>
      <c r="B8" t="s">
        <v>314</v>
      </c>
      <c r="C8">
        <f>SUM('Debt Inventory'!D5:D14)-'Debt Inventory'!D5</f>
        <v>0</v>
      </c>
      <c r="D8">
        <f>MIN('Debt Inventory'!D5:D14)</f>
        <v>0</v>
      </c>
      <c r="E8">
        <f>(MIN('Debt Inventory'!D5:D14)/SUM('Debt Inventory'!D5:D14))*100%</f>
        <v>0</v>
      </c>
      <c r="F8" t="s">
        <v>371</v>
      </c>
    </row>
    <row r="9" spans="1:6">
      <c r="A9" t="s">
        <v>287</v>
      </c>
      <c r="B9" t="s">
        <v>315</v>
      </c>
      <c r="C9">
        <f>SUM('Debt Inventory'!D5:D14)*0.75</f>
        <v>0</v>
      </c>
      <c r="D9">
        <f>SUM('Debt Inventory'!D5:D14)*0.25</f>
        <v>0</v>
      </c>
      <c r="E9" t="s">
        <v>364</v>
      </c>
      <c r="F9" t="s">
        <v>372</v>
      </c>
    </row>
    <row r="10" spans="1:6">
      <c r="A10" t="s">
        <v>288</v>
      </c>
      <c r="B10" t="s">
        <v>316</v>
      </c>
      <c r="C10">
        <f>SUM('Debt Inventory'!D5:D14)*0.50</f>
        <v>0</v>
      </c>
      <c r="D10">
        <f>SUM('Debt Inventory'!D5:D14)*0.50</f>
        <v>0</v>
      </c>
      <c r="E10" t="s">
        <v>365</v>
      </c>
      <c r="F10" t="s">
        <v>373</v>
      </c>
    </row>
    <row r="11" spans="1:6">
      <c r="A11" t="s">
        <v>289</v>
      </c>
      <c r="B11" t="s">
        <v>317</v>
      </c>
      <c r="C11">
        <f>SUM('Debt Inventory'!D5:D14)*0.25</f>
        <v>0</v>
      </c>
      <c r="D11">
        <f>SUM('Debt Inventory'!D5:D14)*0.75</f>
        <v>0</v>
      </c>
      <c r="E11" t="s">
        <v>366</v>
      </c>
      <c r="F11" t="s">
        <v>374</v>
      </c>
    </row>
    <row r="12" spans="1:6">
      <c r="A12" t="s">
        <v>290</v>
      </c>
      <c r="B12" t="s">
        <v>318</v>
      </c>
      <c r="C12" t="s">
        <v>40</v>
      </c>
      <c r="D12">
        <f>SUM('Debt Inventory'!D5:D14)</f>
        <v>0</v>
      </c>
      <c r="E12" t="s">
        <v>38</v>
      </c>
      <c r="F12" t="s">
        <v>375</v>
      </c>
    </row>
    <row r="14" spans="1:6">
      <c r="A14" t="s">
        <v>291</v>
      </c>
    </row>
    <row r="15" spans="1:6">
      <c r="A15" t="s">
        <v>95</v>
      </c>
      <c r="B15" t="s">
        <v>319</v>
      </c>
      <c r="C15" t="s">
        <v>222</v>
      </c>
      <c r="D15" t="s">
        <v>351</v>
      </c>
      <c r="E15" t="s">
        <v>367</v>
      </c>
      <c r="F15" t="s">
        <v>353</v>
      </c>
    </row>
    <row r="16" spans="1:6">
      <c r="A16" t="s">
        <v>292</v>
      </c>
      <c r="B16" t="s">
        <v>320</v>
      </c>
      <c r="C16">
        <f>SUM('Debt Inventory'!D5:D14)</f>
        <v>0</v>
      </c>
      <c r="D16" t="s">
        <v>352</v>
      </c>
      <c r="E16" t="s">
        <v>368</v>
      </c>
      <c r="F16" t="s">
        <v>376</v>
      </c>
    </row>
    <row r="17" spans="1:6">
      <c r="A17" t="s">
        <v>293</v>
      </c>
      <c r="B17" t="s">
        <v>321</v>
      </c>
      <c r="C17">
        <f>SUM('Debt Inventory'!D5:D14)*0.98</f>
        <v>0</v>
      </c>
      <c r="D17">
        <f>SUM(E7:E16)/12</f>
        <v>0</v>
      </c>
      <c r="E17" t="s">
        <v>368</v>
      </c>
      <c r="F17" t="s">
        <v>377</v>
      </c>
    </row>
    <row r="18" spans="1:6">
      <c r="A18" t="s">
        <v>294</v>
      </c>
      <c r="B18" t="s">
        <v>322</v>
      </c>
      <c r="C18">
        <f>SUM('Debt Inventory'!D5:D14)*0.95</f>
        <v>0</v>
      </c>
      <c r="D18">
        <f>(SUM(E7:E16)/12)*3</f>
        <v>0</v>
      </c>
      <c r="E18" t="s">
        <v>369</v>
      </c>
      <c r="F18" t="s">
        <v>378</v>
      </c>
    </row>
    <row r="19" spans="1:6">
      <c r="A19" t="s">
        <v>295</v>
      </c>
      <c r="B19" t="s">
        <v>323</v>
      </c>
      <c r="C19">
        <f>SUM('Debt Inventory'!D5:D14)*0.92</f>
        <v>0</v>
      </c>
      <c r="D19">
        <f>(SUM(E7:E16)/12)*4</f>
        <v>0</v>
      </c>
      <c r="E19" t="s">
        <v>369</v>
      </c>
      <c r="F19" t="s">
        <v>379</v>
      </c>
    </row>
    <row r="20" spans="1:6">
      <c r="A20" t="s">
        <v>296</v>
      </c>
      <c r="B20" t="s">
        <v>324</v>
      </c>
      <c r="C20">
        <f>SUM('Debt Inventory'!D5:D14)*0.88</f>
        <v>0</v>
      </c>
      <c r="D20">
        <f>(SUM(E7:E16)/12)*5</f>
        <v>0</v>
      </c>
      <c r="E20" t="s">
        <v>369</v>
      </c>
      <c r="F20" t="s">
        <v>380</v>
      </c>
    </row>
    <row r="21" spans="1:6">
      <c r="A21" t="s">
        <v>297</v>
      </c>
      <c r="B21" t="s">
        <v>325</v>
      </c>
      <c r="C21">
        <f>SUM('Debt Inventory'!D5:D14)*0.75</f>
        <v>0</v>
      </c>
      <c r="D21">
        <f>(SUM(E7:E16)/12)*6</f>
        <v>0</v>
      </c>
      <c r="E21" t="s">
        <v>369</v>
      </c>
      <c r="F21" t="s">
        <v>381</v>
      </c>
    </row>
    <row r="22" spans="1:6">
      <c r="A22" t="s">
        <v>298</v>
      </c>
      <c r="B22" t="s">
        <v>326</v>
      </c>
      <c r="C22">
        <f>SUM('Debt Inventory'!D5:D14)*0.62</f>
        <v>0</v>
      </c>
      <c r="D22">
        <f>(SUM(E7:E16)/12)*9</f>
        <v>0</v>
      </c>
      <c r="E22" t="s">
        <v>369</v>
      </c>
      <c r="F22" t="s">
        <v>382</v>
      </c>
    </row>
    <row r="23" spans="1:6">
      <c r="A23" t="s">
        <v>299</v>
      </c>
      <c r="B23" t="s">
        <v>327</v>
      </c>
      <c r="C23">
        <f>SUM('Debt Inventory'!D5:D14)*0.50</f>
        <v>0</v>
      </c>
      <c r="D23">
        <f>(SUM(E7:E16)/12)*12</f>
        <v>0</v>
      </c>
      <c r="E23" t="s">
        <v>368</v>
      </c>
      <c r="F23" t="s">
        <v>383</v>
      </c>
    </row>
    <row r="24" spans="1:6">
      <c r="A24" t="s">
        <v>300</v>
      </c>
      <c r="B24" t="s">
        <v>328</v>
      </c>
      <c r="C24">
        <f>SUM('Debt Inventory'!D5:D14)*0.25</f>
        <v>0</v>
      </c>
      <c r="D24">
        <f>(SUM(E7:E16)/12)*18</f>
        <v>0</v>
      </c>
      <c r="E24" t="s">
        <v>368</v>
      </c>
      <c r="F24" t="s">
        <v>384</v>
      </c>
    </row>
    <row r="25" spans="1:6">
      <c r="A25" t="s">
        <v>301</v>
      </c>
      <c r="B25" t="s">
        <v>329</v>
      </c>
      <c r="C25" t="s">
        <v>40</v>
      </c>
      <c r="D25">
        <f>(SUM(E7:E16)/12)*24</f>
        <v>0</v>
      </c>
      <c r="E25" t="s">
        <v>370</v>
      </c>
      <c r="F25" t="s">
        <v>385</v>
      </c>
    </row>
    <row r="27" spans="1:6">
      <c r="A27" t="s">
        <v>302</v>
      </c>
    </row>
    <row r="28" spans="1:6">
      <c r="A28" t="s">
        <v>303</v>
      </c>
      <c r="B28" t="s">
        <v>330</v>
      </c>
      <c r="C28" t="s">
        <v>340</v>
      </c>
      <c r="D28" t="s">
        <v>353</v>
      </c>
    </row>
    <row r="29" spans="1:6">
      <c r="A29" t="s">
        <v>304</v>
      </c>
      <c r="B29" t="s">
        <v>331</v>
      </c>
      <c r="C29" t="s">
        <v>341</v>
      </c>
      <c r="D29" t="s">
        <v>354</v>
      </c>
    </row>
    <row r="30" spans="1:6">
      <c r="A30" t="s">
        <v>305</v>
      </c>
      <c r="B30" t="s">
        <v>332</v>
      </c>
      <c r="C30" t="s">
        <v>342</v>
      </c>
      <c r="D30" t="s">
        <v>355</v>
      </c>
    </row>
    <row r="31" spans="1:6">
      <c r="A31" t="s">
        <v>306</v>
      </c>
      <c r="B31" t="s">
        <v>333</v>
      </c>
      <c r="C31" t="s">
        <v>343</v>
      </c>
      <c r="D31" t="s">
        <v>356</v>
      </c>
    </row>
    <row r="32" spans="1:6">
      <c r="A32" t="s">
        <v>307</v>
      </c>
      <c r="B32" t="s">
        <v>334</v>
      </c>
      <c r="C32" t="s">
        <v>343</v>
      </c>
      <c r="D32" t="s">
        <v>357</v>
      </c>
    </row>
    <row r="33" spans="1:4">
      <c r="A33" t="s">
        <v>22</v>
      </c>
      <c r="B33" t="s">
        <v>335</v>
      </c>
      <c r="C33" t="s">
        <v>344</v>
      </c>
      <c r="D33" t="s">
        <v>358</v>
      </c>
    </row>
    <row r="35" spans="1:4">
      <c r="A35" t="s">
        <v>308</v>
      </c>
    </row>
    <row r="36" spans="1:4">
      <c r="A36" t="s">
        <v>309</v>
      </c>
      <c r="B36" t="s">
        <v>250</v>
      </c>
      <c r="C36" t="s">
        <v>345</v>
      </c>
      <c r="D36" t="s">
        <v>359</v>
      </c>
    </row>
    <row r="37" spans="1:4">
      <c r="A37" t="s">
        <v>310</v>
      </c>
      <c r="B37" t="s">
        <v>336</v>
      </c>
      <c r="C37" t="s">
        <v>346</v>
      </c>
      <c r="D37" t="s">
        <v>360</v>
      </c>
    </row>
    <row r="38" spans="1:4">
      <c r="A38" t="s">
        <v>311</v>
      </c>
      <c r="B38" t="s">
        <v>337</v>
      </c>
      <c r="C38" t="s">
        <v>347</v>
      </c>
      <c r="D38" t="s">
        <v>361</v>
      </c>
    </row>
    <row r="39" spans="1:4">
      <c r="A39" t="s">
        <v>312</v>
      </c>
      <c r="B39" t="s">
        <v>338</v>
      </c>
      <c r="C39" t="s">
        <v>348</v>
      </c>
      <c r="D39" t="s">
        <v>362</v>
      </c>
    </row>
    <row r="40" spans="1:4">
      <c r="A40" t="s">
        <v>313</v>
      </c>
      <c r="B40" t="s">
        <v>339</v>
      </c>
      <c r="C40" t="s">
        <v>349</v>
      </c>
      <c r="D4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Debt Inventory</vt:lpstr>
      <vt:lpstr>Snowball</vt:lpstr>
      <vt:lpstr>Avalanche</vt:lpstr>
      <vt:lpstr>Payment Schedule</vt:lpstr>
      <vt:lpstr>Interest Tracker</vt:lpstr>
      <vt:lpstr>Milestones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2026-01-02T15:47:54Z</dcterms:created>
  <dcterms:modified xsi:type="dcterms:W3CDTF">2026-01-02T15:47:54Z</dcterms:modified>
</cp:coreProperties>
</file>